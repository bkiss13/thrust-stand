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drawings/drawing5.xml" ContentType="application/vnd.openxmlformats-officedocument.drawingml.chartshapes+xml"/>
  <Override PartName="/xl/charts/chart4.xml" ContentType="application/vnd.openxmlformats-officedocument.drawingml.chart+xml"/>
  <Override PartName="/xl/drawings/drawing6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arnabas/Development/_school/Thesis/"/>
    </mc:Choice>
  </mc:AlternateContent>
  <xr:revisionPtr revIDLastSave="0" documentId="13_ncr:1_{E62715D2-2BBA-5B41-9CF0-77D2D61109A9}" xr6:coauthVersionLast="47" xr6:coauthVersionMax="47" xr10:uidLastSave="{00000000-0000-0000-0000-000000000000}"/>
  <bookViews>
    <workbookView xWindow="0" yWindow="620" windowWidth="51200" windowHeight="28180" activeTab="1" xr2:uid="{7BC905DD-C8F9-354B-8CC0-1BA3E4BCFB88}"/>
  </bookViews>
  <sheets>
    <sheet name="Datura Comparison" sheetId="1" r:id="rId1"/>
    <sheet name="Motor Comparison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Y114" i="2" l="1"/>
  <c r="Y113" i="2"/>
  <c r="Y112" i="2"/>
  <c r="Y111" i="2"/>
  <c r="Y110" i="2"/>
  <c r="Y109" i="2"/>
  <c r="Y108" i="2"/>
  <c r="Y107" i="2"/>
  <c r="Y106" i="2"/>
  <c r="Y105" i="2"/>
  <c r="Y104" i="2"/>
  <c r="Y103" i="2"/>
  <c r="Y102" i="2"/>
  <c r="Y101" i="2"/>
  <c r="Y100" i="2"/>
  <c r="Y99" i="2"/>
  <c r="Y98" i="2"/>
  <c r="Y97" i="2"/>
  <c r="Y96" i="2"/>
  <c r="Y95" i="2"/>
  <c r="Y94" i="2"/>
  <c r="Y93" i="2"/>
  <c r="Y92" i="2"/>
  <c r="Y91" i="2"/>
  <c r="Y90" i="2"/>
  <c r="Y89" i="2"/>
  <c r="Y88" i="2"/>
  <c r="Y87" i="2"/>
  <c r="Y86" i="2"/>
  <c r="Y85" i="2"/>
  <c r="Y84" i="2"/>
  <c r="Y83" i="2"/>
  <c r="Y82" i="2"/>
  <c r="Y81" i="2"/>
  <c r="Y80" i="2"/>
  <c r="Y79" i="2"/>
  <c r="Y78" i="2"/>
  <c r="Y77" i="2"/>
  <c r="Y76" i="2"/>
  <c r="Y75" i="2"/>
  <c r="Y74" i="2"/>
  <c r="Y73" i="2"/>
  <c r="Y72" i="2"/>
  <c r="Y71" i="2"/>
  <c r="Y70" i="2"/>
  <c r="Y69" i="2"/>
  <c r="Y68" i="2"/>
  <c r="Y67" i="2"/>
  <c r="Y66" i="2"/>
  <c r="Y65" i="2"/>
  <c r="Y64" i="2"/>
  <c r="Y63" i="2"/>
  <c r="Y62" i="2"/>
  <c r="Y61" i="2"/>
  <c r="Y60" i="2"/>
  <c r="Y59" i="2"/>
  <c r="Y58" i="2"/>
  <c r="Y57" i="2"/>
  <c r="Y56" i="2"/>
  <c r="Y55" i="2"/>
  <c r="Y54" i="2"/>
  <c r="Y53" i="2"/>
  <c r="Y52" i="2"/>
  <c r="Y51" i="2"/>
  <c r="Y50" i="2"/>
  <c r="Y49" i="2"/>
  <c r="Y48" i="2"/>
  <c r="Y47" i="2"/>
  <c r="Y46" i="2"/>
  <c r="Y45" i="2"/>
  <c r="Y44" i="2"/>
  <c r="Y43" i="2"/>
  <c r="Y42" i="2"/>
  <c r="Y41" i="2"/>
  <c r="Y40" i="2"/>
  <c r="Y39" i="2"/>
  <c r="Y38" i="2"/>
  <c r="Y37" i="2"/>
  <c r="Y36" i="2"/>
  <c r="Y35" i="2"/>
  <c r="Y34" i="2"/>
  <c r="Y33" i="2"/>
  <c r="Y32" i="2"/>
  <c r="Y31" i="2"/>
  <c r="Y30" i="2"/>
  <c r="Y29" i="2"/>
  <c r="Y28" i="2"/>
  <c r="Y27" i="2"/>
  <c r="Y26" i="2"/>
  <c r="Y25" i="2"/>
  <c r="Y24" i="2"/>
  <c r="Y23" i="2"/>
  <c r="Y22" i="2"/>
  <c r="Y21" i="2"/>
  <c r="Y20" i="2"/>
  <c r="Y19" i="2"/>
  <c r="Y18" i="2"/>
  <c r="Y17" i="2"/>
  <c r="Y16" i="2"/>
  <c r="Y15" i="2"/>
  <c r="Y14" i="2"/>
  <c r="Y13" i="2"/>
  <c r="Y12" i="2"/>
  <c r="Y11" i="2"/>
  <c r="Y10" i="2"/>
  <c r="Y9" i="2"/>
  <c r="Y8" i="2"/>
  <c r="Y7" i="2"/>
  <c r="Y6" i="2"/>
  <c r="Y5" i="2"/>
  <c r="Y4" i="2"/>
  <c r="S114" i="2"/>
  <c r="S113" i="2"/>
  <c r="S112" i="2"/>
  <c r="S111" i="2"/>
  <c r="S110" i="2"/>
  <c r="S109" i="2"/>
  <c r="S108" i="2"/>
  <c r="S107" i="2"/>
  <c r="S106" i="2"/>
  <c r="S105" i="2"/>
  <c r="S104" i="2"/>
  <c r="S103" i="2"/>
  <c r="S102" i="2"/>
  <c r="S101" i="2"/>
  <c r="S100" i="2"/>
  <c r="S99" i="2"/>
  <c r="S98" i="2"/>
  <c r="S97" i="2"/>
  <c r="S96" i="2"/>
  <c r="S95" i="2"/>
  <c r="S94" i="2"/>
  <c r="S93" i="2"/>
  <c r="S92" i="2"/>
  <c r="S91" i="2"/>
  <c r="S90" i="2"/>
  <c r="S89" i="2"/>
  <c r="S88" i="2"/>
  <c r="S87" i="2"/>
  <c r="S86" i="2"/>
  <c r="S85" i="2"/>
  <c r="S84" i="2"/>
  <c r="S83" i="2"/>
  <c r="S82" i="2"/>
  <c r="S81" i="2"/>
  <c r="S80" i="2"/>
  <c r="S79" i="2"/>
  <c r="S78" i="2"/>
  <c r="S77" i="2"/>
  <c r="S76" i="2"/>
  <c r="S75" i="2"/>
  <c r="S74" i="2"/>
  <c r="S73" i="2"/>
  <c r="S72" i="2"/>
  <c r="S71" i="2"/>
  <c r="S70" i="2"/>
  <c r="S69" i="2"/>
  <c r="S68" i="2"/>
  <c r="S67" i="2"/>
  <c r="S66" i="2"/>
  <c r="S65" i="2"/>
  <c r="S64" i="2"/>
  <c r="S63" i="2"/>
  <c r="S62" i="2"/>
  <c r="S61" i="2"/>
  <c r="S60" i="2"/>
  <c r="S59" i="2"/>
  <c r="S58" i="2"/>
  <c r="S57" i="2"/>
  <c r="S56" i="2"/>
  <c r="S55" i="2"/>
  <c r="S54" i="2"/>
  <c r="S53" i="2"/>
  <c r="S52" i="2"/>
  <c r="S51" i="2"/>
  <c r="S50" i="2"/>
  <c r="S49" i="2"/>
  <c r="S48" i="2"/>
  <c r="S47" i="2"/>
  <c r="S46" i="2"/>
  <c r="S45" i="2"/>
  <c r="S44" i="2"/>
  <c r="S43" i="2"/>
  <c r="S42" i="2"/>
  <c r="S41" i="2"/>
  <c r="S40" i="2"/>
  <c r="S39" i="2"/>
  <c r="S38" i="2"/>
  <c r="S37" i="2"/>
  <c r="S36" i="2"/>
  <c r="S35" i="2"/>
  <c r="S34" i="2"/>
  <c r="S33" i="2"/>
  <c r="S32" i="2"/>
  <c r="S31" i="2"/>
  <c r="S30" i="2"/>
  <c r="S29" i="2"/>
  <c r="S28" i="2"/>
  <c r="S27" i="2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S11" i="2"/>
  <c r="S10" i="2"/>
  <c r="S9" i="2"/>
  <c r="S8" i="2"/>
  <c r="S7" i="2"/>
  <c r="S6" i="2"/>
  <c r="S5" i="2"/>
  <c r="S4" i="2"/>
  <c r="L114" i="2"/>
  <c r="F114" i="2"/>
  <c r="L113" i="2"/>
  <c r="F113" i="2"/>
  <c r="L112" i="2"/>
  <c r="F112" i="2"/>
  <c r="L111" i="2"/>
  <c r="F111" i="2"/>
  <c r="L110" i="2"/>
  <c r="F110" i="2"/>
  <c r="L109" i="2"/>
  <c r="F109" i="2"/>
  <c r="L108" i="2"/>
  <c r="F108" i="2"/>
  <c r="L107" i="2"/>
  <c r="F107" i="2"/>
  <c r="L106" i="2"/>
  <c r="F106" i="2"/>
  <c r="L105" i="2"/>
  <c r="F105" i="2"/>
  <c r="L104" i="2"/>
  <c r="F104" i="2"/>
  <c r="L103" i="2"/>
  <c r="F103" i="2"/>
  <c r="L102" i="2"/>
  <c r="F102" i="2"/>
  <c r="L101" i="2"/>
  <c r="F101" i="2"/>
  <c r="L100" i="2"/>
  <c r="F100" i="2"/>
  <c r="L99" i="2"/>
  <c r="F99" i="2"/>
  <c r="L98" i="2"/>
  <c r="F98" i="2"/>
  <c r="L97" i="2"/>
  <c r="F97" i="2"/>
  <c r="L96" i="2"/>
  <c r="F96" i="2"/>
  <c r="L95" i="2"/>
  <c r="F95" i="2"/>
  <c r="L94" i="2"/>
  <c r="F94" i="2"/>
  <c r="L93" i="2"/>
  <c r="F93" i="2"/>
  <c r="L92" i="2"/>
  <c r="F92" i="2"/>
  <c r="L91" i="2"/>
  <c r="F91" i="2"/>
  <c r="L90" i="2"/>
  <c r="F90" i="2"/>
  <c r="L89" i="2"/>
  <c r="F89" i="2"/>
  <c r="L88" i="2"/>
  <c r="F88" i="2"/>
  <c r="L87" i="2"/>
  <c r="F87" i="2"/>
  <c r="L86" i="2"/>
  <c r="F86" i="2"/>
  <c r="L85" i="2"/>
  <c r="F85" i="2"/>
  <c r="L84" i="2"/>
  <c r="F84" i="2"/>
  <c r="L83" i="2"/>
  <c r="F83" i="2"/>
  <c r="L82" i="2"/>
  <c r="F82" i="2"/>
  <c r="L81" i="2"/>
  <c r="F81" i="2"/>
  <c r="L80" i="2"/>
  <c r="F80" i="2"/>
  <c r="L79" i="2"/>
  <c r="F79" i="2"/>
  <c r="L78" i="2"/>
  <c r="F78" i="2"/>
  <c r="L77" i="2"/>
  <c r="F77" i="2"/>
  <c r="L76" i="2"/>
  <c r="F76" i="2"/>
  <c r="L75" i="2"/>
  <c r="F75" i="2"/>
  <c r="L74" i="2"/>
  <c r="F74" i="2"/>
  <c r="L73" i="2"/>
  <c r="F73" i="2"/>
  <c r="L72" i="2"/>
  <c r="F72" i="2"/>
  <c r="L71" i="2"/>
  <c r="F71" i="2"/>
  <c r="L70" i="2"/>
  <c r="F70" i="2"/>
  <c r="L69" i="2"/>
  <c r="F69" i="2"/>
  <c r="L68" i="2"/>
  <c r="F68" i="2"/>
  <c r="L67" i="2"/>
  <c r="F67" i="2"/>
  <c r="L66" i="2"/>
  <c r="F66" i="2"/>
  <c r="L65" i="2"/>
  <c r="F65" i="2"/>
  <c r="L64" i="2"/>
  <c r="F64" i="2"/>
  <c r="L63" i="2"/>
  <c r="F63" i="2"/>
  <c r="L62" i="2"/>
  <c r="F62" i="2"/>
  <c r="L61" i="2"/>
  <c r="F61" i="2"/>
  <c r="L60" i="2"/>
  <c r="F60" i="2"/>
  <c r="L59" i="2"/>
  <c r="F59" i="2"/>
  <c r="L58" i="2"/>
  <c r="F58" i="2"/>
  <c r="L57" i="2"/>
  <c r="F57" i="2"/>
  <c r="L56" i="2"/>
  <c r="F56" i="2"/>
  <c r="L55" i="2"/>
  <c r="F55" i="2"/>
  <c r="L54" i="2"/>
  <c r="F54" i="2"/>
  <c r="L53" i="2"/>
  <c r="F53" i="2"/>
  <c r="L52" i="2"/>
  <c r="F52" i="2"/>
  <c r="L51" i="2"/>
  <c r="F51" i="2"/>
  <c r="L50" i="2"/>
  <c r="F50" i="2"/>
  <c r="L49" i="2"/>
  <c r="F49" i="2"/>
  <c r="L48" i="2"/>
  <c r="F48" i="2"/>
  <c r="L47" i="2"/>
  <c r="F47" i="2"/>
  <c r="L46" i="2"/>
  <c r="F46" i="2"/>
  <c r="L45" i="2"/>
  <c r="F45" i="2"/>
  <c r="L44" i="2"/>
  <c r="F44" i="2"/>
  <c r="L43" i="2"/>
  <c r="F43" i="2"/>
  <c r="L42" i="2"/>
  <c r="F42" i="2"/>
  <c r="L41" i="2"/>
  <c r="F41" i="2"/>
  <c r="L40" i="2"/>
  <c r="F40" i="2"/>
  <c r="L39" i="2"/>
  <c r="F39" i="2"/>
  <c r="L38" i="2"/>
  <c r="F38" i="2"/>
  <c r="L37" i="2"/>
  <c r="F37" i="2"/>
  <c r="L36" i="2"/>
  <c r="F36" i="2"/>
  <c r="L35" i="2"/>
  <c r="F35" i="2"/>
  <c r="L34" i="2"/>
  <c r="F34" i="2"/>
  <c r="L33" i="2"/>
  <c r="F33" i="2"/>
  <c r="L32" i="2"/>
  <c r="F32" i="2"/>
  <c r="L31" i="2"/>
  <c r="F31" i="2"/>
  <c r="L30" i="2"/>
  <c r="F30" i="2"/>
  <c r="L29" i="2"/>
  <c r="F29" i="2"/>
  <c r="L28" i="2"/>
  <c r="F28" i="2"/>
  <c r="L27" i="2"/>
  <c r="F27" i="2"/>
  <c r="L26" i="2"/>
  <c r="F26" i="2"/>
  <c r="L25" i="2"/>
  <c r="F25" i="2"/>
  <c r="L24" i="2"/>
  <c r="F24" i="2"/>
  <c r="L23" i="2"/>
  <c r="F23" i="2"/>
  <c r="L22" i="2"/>
  <c r="F22" i="2"/>
  <c r="L21" i="2"/>
  <c r="F21" i="2"/>
  <c r="L20" i="2"/>
  <c r="F20" i="2"/>
  <c r="L19" i="2"/>
  <c r="F19" i="2"/>
  <c r="L18" i="2"/>
  <c r="F18" i="2"/>
  <c r="L17" i="2"/>
  <c r="F17" i="2"/>
  <c r="L16" i="2"/>
  <c r="F16" i="2"/>
  <c r="L15" i="2"/>
  <c r="F15" i="2"/>
  <c r="L14" i="2"/>
  <c r="F14" i="2"/>
  <c r="L13" i="2"/>
  <c r="F13" i="2"/>
  <c r="L12" i="2"/>
  <c r="F12" i="2"/>
  <c r="L11" i="2"/>
  <c r="F11" i="2"/>
  <c r="L10" i="2"/>
  <c r="F10" i="2"/>
  <c r="L9" i="2"/>
  <c r="F9" i="2"/>
  <c r="L8" i="2"/>
  <c r="F8" i="2"/>
  <c r="L7" i="2"/>
  <c r="F7" i="2"/>
  <c r="L6" i="2"/>
  <c r="F6" i="2"/>
  <c r="L5" i="2"/>
  <c r="F5" i="2"/>
  <c r="L4" i="2"/>
  <c r="F4" i="2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4" i="1"/>
  <c r="X114" i="1"/>
  <c r="X113" i="1"/>
  <c r="X112" i="1"/>
  <c r="X111" i="1"/>
  <c r="X110" i="1"/>
  <c r="X109" i="1"/>
  <c r="X108" i="1"/>
  <c r="X107" i="1"/>
  <c r="X106" i="1"/>
  <c r="X105" i="1"/>
  <c r="X104" i="1"/>
  <c r="X103" i="1"/>
  <c r="X102" i="1"/>
  <c r="X101" i="1"/>
  <c r="X100" i="1"/>
  <c r="X99" i="1"/>
  <c r="X98" i="1"/>
  <c r="X97" i="1"/>
  <c r="X96" i="1"/>
  <c r="X95" i="1"/>
  <c r="X94" i="1"/>
  <c r="X93" i="1"/>
  <c r="X92" i="1"/>
  <c r="X91" i="1"/>
  <c r="X90" i="1"/>
  <c r="X89" i="1"/>
  <c r="X88" i="1"/>
  <c r="X87" i="1"/>
  <c r="X86" i="1"/>
  <c r="X85" i="1"/>
  <c r="X84" i="1"/>
  <c r="X83" i="1"/>
  <c r="X82" i="1"/>
  <c r="X81" i="1"/>
  <c r="X80" i="1"/>
  <c r="X79" i="1"/>
  <c r="X78" i="1"/>
  <c r="X77" i="1"/>
  <c r="X76" i="1"/>
  <c r="X75" i="1"/>
  <c r="X74" i="1"/>
  <c r="X73" i="1"/>
  <c r="X72" i="1"/>
  <c r="X71" i="1"/>
  <c r="X70" i="1"/>
  <c r="X69" i="1"/>
  <c r="X68" i="1"/>
  <c r="X67" i="1"/>
  <c r="X66" i="1"/>
  <c r="X65" i="1"/>
  <c r="X64" i="1"/>
  <c r="X63" i="1"/>
  <c r="X62" i="1"/>
  <c r="X61" i="1"/>
  <c r="X60" i="1"/>
  <c r="X59" i="1"/>
  <c r="X58" i="1"/>
  <c r="X57" i="1"/>
  <c r="X56" i="1"/>
  <c r="X55" i="1"/>
  <c r="X54" i="1"/>
  <c r="X53" i="1"/>
  <c r="X52" i="1"/>
  <c r="X51" i="1"/>
  <c r="X50" i="1"/>
  <c r="X49" i="1"/>
  <c r="X48" i="1"/>
  <c r="X47" i="1"/>
  <c r="X46" i="1"/>
  <c r="X45" i="1"/>
  <c r="X44" i="1"/>
  <c r="X43" i="1"/>
  <c r="X42" i="1"/>
  <c r="X41" i="1"/>
  <c r="X40" i="1"/>
  <c r="X39" i="1"/>
  <c r="X38" i="1"/>
  <c r="X37" i="1"/>
  <c r="X36" i="1"/>
  <c r="X35" i="1"/>
  <c r="X34" i="1"/>
  <c r="X33" i="1"/>
  <c r="X32" i="1"/>
  <c r="X31" i="1"/>
  <c r="X30" i="1"/>
  <c r="X29" i="1"/>
  <c r="X28" i="1"/>
  <c r="X27" i="1"/>
  <c r="X26" i="1"/>
  <c r="X25" i="1"/>
  <c r="X24" i="1"/>
  <c r="X23" i="1"/>
  <c r="X22" i="1"/>
  <c r="X21" i="1"/>
  <c r="X20" i="1"/>
  <c r="X19" i="1"/>
  <c r="X18" i="1"/>
  <c r="X17" i="1"/>
  <c r="X16" i="1"/>
  <c r="X15" i="1"/>
  <c r="X14" i="1"/>
  <c r="X13" i="1"/>
  <c r="X12" i="1"/>
  <c r="X11" i="1"/>
  <c r="X10" i="1"/>
  <c r="X9" i="1"/>
  <c r="X8" i="1"/>
  <c r="X7" i="1"/>
  <c r="X6" i="1"/>
  <c r="X5" i="1"/>
  <c r="X4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4" i="1"/>
</calcChain>
</file>

<file path=xl/sharedStrings.xml><?xml version="1.0" encoding="utf-8"?>
<sst xmlns="http://schemas.openxmlformats.org/spreadsheetml/2006/main" count="47" uniqueCount="11">
  <si>
    <t>timestamp_s</t>
  </si>
  <si>
    <t>thrust_gf</t>
  </si>
  <si>
    <t>efficiency_gpw</t>
  </si>
  <si>
    <t>throttle_pct</t>
  </si>
  <si>
    <t>Datura 2.5"</t>
  </si>
  <si>
    <t>Datura 3"</t>
  </si>
  <si>
    <t>Datura 3.5"</t>
  </si>
  <si>
    <t>Datura 4.9"</t>
  </si>
  <si>
    <t>time</t>
  </si>
  <si>
    <t>Robo 2.5"</t>
  </si>
  <si>
    <t>Robo 3"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</si>
</sst>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6977080514631609"/>
          <c:y val="4.0728763072419925E-2"/>
          <c:w val="0.60798240524355562"/>
          <c:h val="0.73915064663638197"/>
        </c:manualLayout>
      </c:layout>
      <c:scatterChart>
        <c:scatterStyle val="lineMarker"/>
        <c:varyColors val="0"/>
        <c:ser>
          <c:idx val="0"/>
          <c:order val="0"/>
          <c:tx>
            <c:v> 2.5" Propeller</c:v>
          </c:tx>
          <c:spPr>
            <a:ln w="25400">
              <a:solidFill>
                <a:schemeClr val="accent2">
                  <a:lumMod val="60000"/>
                  <a:lumOff val="40000"/>
                </a:schemeClr>
              </a:solidFill>
            </a:ln>
          </c:spPr>
          <c:marker>
            <c:symbol val="none"/>
          </c:marker>
          <c:xVal>
            <c:numRef>
              <c:f>'Datura Comparison'!$F$4:$F$114</c:f>
              <c:numCache>
                <c:formatCode>General</c:formatCode>
                <c:ptCount val="111"/>
                <c:pt idx="0">
                  <c:v>-1</c:v>
                </c:pt>
                <c:pt idx="1">
                  <c:v>-0.90443899999999999</c:v>
                </c:pt>
                <c:pt idx="2">
                  <c:v>-0.84075500000000003</c:v>
                </c:pt>
                <c:pt idx="3">
                  <c:v>-0.731904</c:v>
                </c:pt>
                <c:pt idx="4">
                  <c:v>-0.65226800000000007</c:v>
                </c:pt>
                <c:pt idx="5">
                  <c:v>-0.54210999999999998</c:v>
                </c:pt>
                <c:pt idx="6">
                  <c:v>-0.46154499999999998</c:v>
                </c:pt>
                <c:pt idx="7">
                  <c:v>-0.35063299999999997</c:v>
                </c:pt>
                <c:pt idx="8">
                  <c:v>-0.26983599999999996</c:v>
                </c:pt>
                <c:pt idx="9">
                  <c:v>-0.16041399999999995</c:v>
                </c:pt>
                <c:pt idx="10">
                  <c:v>-8.0331999999999959E-2</c:v>
                </c:pt>
                <c:pt idx="11">
                  <c:v>2.9115000000000002E-2</c:v>
                </c:pt>
                <c:pt idx="12">
                  <c:v>0.10937100000000011</c:v>
                </c:pt>
                <c:pt idx="13">
                  <c:v>0.18117800000000006</c:v>
                </c:pt>
                <c:pt idx="14">
                  <c:v>0.29073700000000002</c:v>
                </c:pt>
                <c:pt idx="15">
                  <c:v>0.37094099999999997</c:v>
                </c:pt>
                <c:pt idx="16">
                  <c:v>0.4502790000000001</c:v>
                </c:pt>
                <c:pt idx="17">
                  <c:v>0.5611870000000001</c:v>
                </c:pt>
                <c:pt idx="18">
                  <c:v>0.65108900000000003</c:v>
                </c:pt>
                <c:pt idx="19">
                  <c:v>0.73842099999999999</c:v>
                </c:pt>
                <c:pt idx="20">
                  <c:v>0.85666200000000003</c:v>
                </c:pt>
                <c:pt idx="21">
                  <c:v>0.93431099999999989</c:v>
                </c:pt>
                <c:pt idx="22">
                  <c:v>1.0418790000000002</c:v>
                </c:pt>
                <c:pt idx="23">
                  <c:v>1.1204339999999999</c:v>
                </c:pt>
                <c:pt idx="24">
                  <c:v>1.1820200000000001</c:v>
                </c:pt>
                <c:pt idx="25">
                  <c:v>1.2882180000000001</c:v>
                </c:pt>
                <c:pt idx="26">
                  <c:v>1.3889149999999999</c:v>
                </c:pt>
                <c:pt idx="27">
                  <c:v>1.4946250000000001</c:v>
                </c:pt>
                <c:pt idx="28">
                  <c:v>1.5720519999999998</c:v>
                </c:pt>
                <c:pt idx="29">
                  <c:v>1.6778379999999999</c:v>
                </c:pt>
                <c:pt idx="30">
                  <c:v>1.75597</c:v>
                </c:pt>
                <c:pt idx="31">
                  <c:v>1.8639329999999998</c:v>
                </c:pt>
                <c:pt idx="32">
                  <c:v>1.9426160000000001</c:v>
                </c:pt>
                <c:pt idx="33">
                  <c:v>2.0506039999999999</c:v>
                </c:pt>
                <c:pt idx="34">
                  <c:v>2.129448</c:v>
                </c:pt>
                <c:pt idx="35">
                  <c:v>2.2363</c:v>
                </c:pt>
                <c:pt idx="36">
                  <c:v>2.3143379999999998</c:v>
                </c:pt>
                <c:pt idx="37">
                  <c:v>2.4040349999999999</c:v>
                </c:pt>
                <c:pt idx="38">
                  <c:v>2.4826549999999998</c:v>
                </c:pt>
                <c:pt idx="39">
                  <c:v>2.5913750000000002</c:v>
                </c:pt>
                <c:pt idx="40">
                  <c:v>2.6702870000000001</c:v>
                </c:pt>
                <c:pt idx="41">
                  <c:v>2.7790020000000002</c:v>
                </c:pt>
                <c:pt idx="42">
                  <c:v>2.8576510000000002</c:v>
                </c:pt>
                <c:pt idx="43">
                  <c:v>2.9641120000000001</c:v>
                </c:pt>
                <c:pt idx="44">
                  <c:v>3.042052</c:v>
                </c:pt>
                <c:pt idx="45">
                  <c:v>3.1500620000000001</c:v>
                </c:pt>
                <c:pt idx="46">
                  <c:v>3.2364509999999997</c:v>
                </c:pt>
                <c:pt idx="47">
                  <c:v>3.3435560000000004</c:v>
                </c:pt>
                <c:pt idx="48">
                  <c:v>3.4327949999999996</c:v>
                </c:pt>
                <c:pt idx="49">
                  <c:v>3.4985879999999998</c:v>
                </c:pt>
                <c:pt idx="50">
                  <c:v>3.6166989999999997</c:v>
                </c:pt>
                <c:pt idx="51">
                  <c:v>3.7054020000000003</c:v>
                </c:pt>
                <c:pt idx="52">
                  <c:v>3.7683400000000002</c:v>
                </c:pt>
                <c:pt idx="53">
                  <c:v>3.8750859999999996</c:v>
                </c:pt>
                <c:pt idx="54">
                  <c:v>3.951708</c:v>
                </c:pt>
                <c:pt idx="55">
                  <c:v>4.05722</c:v>
                </c:pt>
                <c:pt idx="56">
                  <c:v>4.1339930000000003</c:v>
                </c:pt>
                <c:pt idx="57">
                  <c:v>4.2417020000000001</c:v>
                </c:pt>
                <c:pt idx="58">
                  <c:v>4.319178</c:v>
                </c:pt>
                <c:pt idx="59">
                  <c:v>4.4245190000000001</c:v>
                </c:pt>
                <c:pt idx="60">
                  <c:v>4.5010640000000004</c:v>
                </c:pt>
                <c:pt idx="61">
                  <c:v>4.6084329999999998</c:v>
                </c:pt>
                <c:pt idx="62">
                  <c:v>4.6851289999999999</c:v>
                </c:pt>
                <c:pt idx="63">
                  <c:v>4.7911260000000002</c:v>
                </c:pt>
                <c:pt idx="64">
                  <c:v>4.8679990000000002</c:v>
                </c:pt>
                <c:pt idx="65">
                  <c:v>4.9731880000000004</c:v>
                </c:pt>
                <c:pt idx="66">
                  <c:v>5.0732499999999998</c:v>
                </c:pt>
                <c:pt idx="67">
                  <c:v>5.1789870000000002</c:v>
                </c:pt>
                <c:pt idx="68">
                  <c:v>5.2563370000000003</c:v>
                </c:pt>
                <c:pt idx="69">
                  <c:v>5.3616609999999998</c:v>
                </c:pt>
                <c:pt idx="70">
                  <c:v>5.438466</c:v>
                </c:pt>
                <c:pt idx="71">
                  <c:v>5.544003</c:v>
                </c:pt>
                <c:pt idx="72">
                  <c:v>5.6209100000000003</c:v>
                </c:pt>
                <c:pt idx="73">
                  <c:v>5.7260429999999998</c:v>
                </c:pt>
                <c:pt idx="74">
                  <c:v>5.8025599999999997</c:v>
                </c:pt>
                <c:pt idx="75">
                  <c:v>5.9080300000000001</c:v>
                </c:pt>
                <c:pt idx="76">
                  <c:v>5.984375</c:v>
                </c:pt>
                <c:pt idx="77">
                  <c:v>6.0907830000000001</c:v>
                </c:pt>
                <c:pt idx="78">
                  <c:v>6.1689910000000001</c:v>
                </c:pt>
                <c:pt idx="79">
                  <c:v>6.2861750000000001</c:v>
                </c:pt>
                <c:pt idx="80">
                  <c:v>6.3643729999999996</c:v>
                </c:pt>
                <c:pt idx="81">
                  <c:v>6.4410600000000002</c:v>
                </c:pt>
                <c:pt idx="82">
                  <c:v>6.5488049999999998</c:v>
                </c:pt>
                <c:pt idx="83">
                  <c:v>6.6386139999999996</c:v>
                </c:pt>
                <c:pt idx="84">
                  <c:v>6.7460760000000004</c:v>
                </c:pt>
                <c:pt idx="85">
                  <c:v>6.8238519999999996</c:v>
                </c:pt>
                <c:pt idx="86">
                  <c:v>6.932436</c:v>
                </c:pt>
                <c:pt idx="87">
                  <c:v>7.0101990000000001</c:v>
                </c:pt>
                <c:pt idx="88">
                  <c:v>7.1161239999999992</c:v>
                </c:pt>
                <c:pt idx="89">
                  <c:v>7.1929390000000009</c:v>
                </c:pt>
                <c:pt idx="90">
                  <c:v>7.2992519999999992</c:v>
                </c:pt>
                <c:pt idx="91">
                  <c:v>7.3766130000000008</c:v>
                </c:pt>
                <c:pt idx="92">
                  <c:v>7.4825289999999995</c:v>
                </c:pt>
                <c:pt idx="93">
                  <c:v>7.5598310000000009</c:v>
                </c:pt>
                <c:pt idx="94">
                  <c:v>7.6658159999999995</c:v>
                </c:pt>
                <c:pt idx="95">
                  <c:v>7.7434639999999995</c:v>
                </c:pt>
                <c:pt idx="96">
                  <c:v>7.8518720000000002</c:v>
                </c:pt>
                <c:pt idx="97">
                  <c:v>7.9300800000000002</c:v>
                </c:pt>
                <c:pt idx="98">
                  <c:v>8.0362720000000003</c:v>
                </c:pt>
                <c:pt idx="99">
                  <c:v>8.1133690000000005</c:v>
                </c:pt>
                <c:pt idx="100">
                  <c:v>8.2009620000000005</c:v>
                </c:pt>
                <c:pt idx="101">
                  <c:v>8.2779419999999995</c:v>
                </c:pt>
                <c:pt idx="102">
                  <c:v>8.3836510000000004</c:v>
                </c:pt>
                <c:pt idx="103">
                  <c:v>8.4604520000000001</c:v>
                </c:pt>
                <c:pt idx="104">
                  <c:v>8.5670780000000004</c:v>
                </c:pt>
                <c:pt idx="105">
                  <c:v>8.6443250000000003</c:v>
                </c:pt>
                <c:pt idx="106">
                  <c:v>8.7507439999999992</c:v>
                </c:pt>
                <c:pt idx="107">
                  <c:v>8.8274019999999993</c:v>
                </c:pt>
                <c:pt idx="108">
                  <c:v>8.9330879999999997</c:v>
                </c:pt>
                <c:pt idx="109">
                  <c:v>9.0342579999999995</c:v>
                </c:pt>
                <c:pt idx="110">
                  <c:v>9.1403669999999995</c:v>
                </c:pt>
              </c:numCache>
            </c:numRef>
          </c:xVal>
          <c:yVal>
            <c:numRef>
              <c:f>'Datura Comparison'!$C$4:$C$114</c:f>
              <c:numCache>
                <c:formatCode>General</c:formatCode>
                <c:ptCount val="111"/>
                <c:pt idx="0">
                  <c:v>7.3999999999999996E-2</c:v>
                </c:pt>
                <c:pt idx="1">
                  <c:v>5.0999999999999997E-2</c:v>
                </c:pt>
                <c:pt idx="2">
                  <c:v>6.3E-2</c:v>
                </c:pt>
                <c:pt idx="3">
                  <c:v>7.8E-2</c:v>
                </c:pt>
                <c:pt idx="4">
                  <c:v>3.5999999999999997E-2</c:v>
                </c:pt>
                <c:pt idx="5">
                  <c:v>1.4999999999999999E-2</c:v>
                </c:pt>
                <c:pt idx="6">
                  <c:v>-1.7000000000000001E-2</c:v>
                </c:pt>
                <c:pt idx="7">
                  <c:v>-4.4999999999999998E-2</c:v>
                </c:pt>
                <c:pt idx="8">
                  <c:v>-4.4999999999999998E-2</c:v>
                </c:pt>
                <c:pt idx="9">
                  <c:v>-3.3000000000000002E-2</c:v>
                </c:pt>
                <c:pt idx="10">
                  <c:v>-8.9999999999999993E-3</c:v>
                </c:pt>
                <c:pt idx="11">
                  <c:v>-3.2000000000000001E-2</c:v>
                </c:pt>
                <c:pt idx="12">
                  <c:v>-2.3E-2</c:v>
                </c:pt>
                <c:pt idx="13">
                  <c:v>0.01</c:v>
                </c:pt>
                <c:pt idx="14">
                  <c:v>3.9E-2</c:v>
                </c:pt>
                <c:pt idx="15">
                  <c:v>4.8000000000000001E-2</c:v>
                </c:pt>
                <c:pt idx="16">
                  <c:v>1.0580000000000001</c:v>
                </c:pt>
                <c:pt idx="17">
                  <c:v>6.5140000000000002</c:v>
                </c:pt>
                <c:pt idx="18">
                  <c:v>11.363</c:v>
                </c:pt>
                <c:pt idx="19">
                  <c:v>12.065</c:v>
                </c:pt>
                <c:pt idx="20">
                  <c:v>11.968999999999999</c:v>
                </c:pt>
                <c:pt idx="21">
                  <c:v>11.842000000000001</c:v>
                </c:pt>
                <c:pt idx="22">
                  <c:v>11.768000000000001</c:v>
                </c:pt>
                <c:pt idx="23">
                  <c:v>11.763</c:v>
                </c:pt>
                <c:pt idx="24">
                  <c:v>11.836</c:v>
                </c:pt>
                <c:pt idx="25">
                  <c:v>11.781000000000001</c:v>
                </c:pt>
                <c:pt idx="26">
                  <c:v>11.794</c:v>
                </c:pt>
                <c:pt idx="27">
                  <c:v>11.816000000000001</c:v>
                </c:pt>
                <c:pt idx="28">
                  <c:v>11.705</c:v>
                </c:pt>
                <c:pt idx="29">
                  <c:v>11.775</c:v>
                </c:pt>
                <c:pt idx="30">
                  <c:v>11.736000000000001</c:v>
                </c:pt>
                <c:pt idx="31">
                  <c:v>11.676</c:v>
                </c:pt>
                <c:pt idx="32">
                  <c:v>11.632999999999999</c:v>
                </c:pt>
                <c:pt idx="33">
                  <c:v>11.664999999999999</c:v>
                </c:pt>
                <c:pt idx="34">
                  <c:v>11.695</c:v>
                </c:pt>
                <c:pt idx="35">
                  <c:v>11.682</c:v>
                </c:pt>
                <c:pt idx="36">
                  <c:v>11.685</c:v>
                </c:pt>
                <c:pt idx="37">
                  <c:v>11.679</c:v>
                </c:pt>
                <c:pt idx="38">
                  <c:v>11.669</c:v>
                </c:pt>
                <c:pt idx="39">
                  <c:v>11.646000000000001</c:v>
                </c:pt>
                <c:pt idx="40">
                  <c:v>11.683</c:v>
                </c:pt>
                <c:pt idx="41">
                  <c:v>11.744</c:v>
                </c:pt>
                <c:pt idx="42">
                  <c:v>11.797000000000001</c:v>
                </c:pt>
                <c:pt idx="43">
                  <c:v>11.824</c:v>
                </c:pt>
                <c:pt idx="44">
                  <c:v>11.71</c:v>
                </c:pt>
                <c:pt idx="45">
                  <c:v>11.724</c:v>
                </c:pt>
                <c:pt idx="46">
                  <c:v>11.712999999999999</c:v>
                </c:pt>
                <c:pt idx="47">
                  <c:v>12.08</c:v>
                </c:pt>
                <c:pt idx="48">
                  <c:v>19.178000000000001</c:v>
                </c:pt>
                <c:pt idx="49">
                  <c:v>31.869</c:v>
                </c:pt>
                <c:pt idx="50">
                  <c:v>35.777999999999999</c:v>
                </c:pt>
                <c:pt idx="51">
                  <c:v>36.090000000000003</c:v>
                </c:pt>
                <c:pt idx="52">
                  <c:v>36.012</c:v>
                </c:pt>
                <c:pt idx="53">
                  <c:v>36.069000000000003</c:v>
                </c:pt>
                <c:pt idx="54">
                  <c:v>36.012</c:v>
                </c:pt>
                <c:pt idx="55">
                  <c:v>35.896999999999998</c:v>
                </c:pt>
                <c:pt idx="56">
                  <c:v>35.841999999999999</c:v>
                </c:pt>
                <c:pt idx="57">
                  <c:v>36.024999999999999</c:v>
                </c:pt>
                <c:pt idx="58">
                  <c:v>36.033999999999999</c:v>
                </c:pt>
                <c:pt idx="59">
                  <c:v>35.918999999999997</c:v>
                </c:pt>
                <c:pt idx="60">
                  <c:v>35.966000000000001</c:v>
                </c:pt>
                <c:pt idx="61">
                  <c:v>35.924999999999997</c:v>
                </c:pt>
                <c:pt idx="62">
                  <c:v>35.938000000000002</c:v>
                </c:pt>
                <c:pt idx="63">
                  <c:v>35.96</c:v>
                </c:pt>
                <c:pt idx="64">
                  <c:v>35.912999999999997</c:v>
                </c:pt>
                <c:pt idx="65">
                  <c:v>35.926000000000002</c:v>
                </c:pt>
                <c:pt idx="66">
                  <c:v>35.905999999999999</c:v>
                </c:pt>
                <c:pt idx="67">
                  <c:v>35.866</c:v>
                </c:pt>
                <c:pt idx="68">
                  <c:v>35.768000000000001</c:v>
                </c:pt>
                <c:pt idx="69">
                  <c:v>35.911999999999999</c:v>
                </c:pt>
                <c:pt idx="70">
                  <c:v>35.798999999999999</c:v>
                </c:pt>
                <c:pt idx="71">
                  <c:v>35.718000000000004</c:v>
                </c:pt>
                <c:pt idx="72">
                  <c:v>35.776000000000003</c:v>
                </c:pt>
                <c:pt idx="73">
                  <c:v>35.703000000000003</c:v>
                </c:pt>
                <c:pt idx="74">
                  <c:v>35.634999999999998</c:v>
                </c:pt>
                <c:pt idx="75">
                  <c:v>35.667000000000002</c:v>
                </c:pt>
                <c:pt idx="76">
                  <c:v>35.820999999999998</c:v>
                </c:pt>
                <c:pt idx="77">
                  <c:v>35.792999999999999</c:v>
                </c:pt>
                <c:pt idx="78">
                  <c:v>35.880000000000003</c:v>
                </c:pt>
                <c:pt idx="79">
                  <c:v>35.835000000000001</c:v>
                </c:pt>
                <c:pt idx="80">
                  <c:v>36.411000000000001</c:v>
                </c:pt>
                <c:pt idx="81">
                  <c:v>46.689</c:v>
                </c:pt>
                <c:pt idx="82">
                  <c:v>63.956000000000003</c:v>
                </c:pt>
                <c:pt idx="83">
                  <c:v>68.370999999999995</c:v>
                </c:pt>
                <c:pt idx="84">
                  <c:v>68.5</c:v>
                </c:pt>
                <c:pt idx="85">
                  <c:v>68.48</c:v>
                </c:pt>
                <c:pt idx="86">
                  <c:v>68.179000000000002</c:v>
                </c:pt>
                <c:pt idx="87">
                  <c:v>68.224000000000004</c:v>
                </c:pt>
                <c:pt idx="88">
                  <c:v>68.262</c:v>
                </c:pt>
                <c:pt idx="89">
                  <c:v>68.123000000000005</c:v>
                </c:pt>
                <c:pt idx="90">
                  <c:v>68.06</c:v>
                </c:pt>
                <c:pt idx="91">
                  <c:v>67.933999999999997</c:v>
                </c:pt>
                <c:pt idx="92">
                  <c:v>67.798000000000002</c:v>
                </c:pt>
                <c:pt idx="93">
                  <c:v>67.828000000000003</c:v>
                </c:pt>
                <c:pt idx="94">
                  <c:v>67.775000000000006</c:v>
                </c:pt>
                <c:pt idx="95">
                  <c:v>67.972999999999999</c:v>
                </c:pt>
                <c:pt idx="96">
                  <c:v>68.052999999999997</c:v>
                </c:pt>
                <c:pt idx="97">
                  <c:v>68.137</c:v>
                </c:pt>
                <c:pt idx="98">
                  <c:v>68.183999999999997</c:v>
                </c:pt>
                <c:pt idx="99">
                  <c:v>68.319000000000003</c:v>
                </c:pt>
                <c:pt idx="100">
                  <c:v>68.203000000000003</c:v>
                </c:pt>
                <c:pt idx="101">
                  <c:v>68.143000000000001</c:v>
                </c:pt>
                <c:pt idx="102">
                  <c:v>67.986000000000004</c:v>
                </c:pt>
                <c:pt idx="103">
                  <c:v>67.849000000000004</c:v>
                </c:pt>
                <c:pt idx="104">
                  <c:v>68.084000000000003</c:v>
                </c:pt>
                <c:pt idx="105">
                  <c:v>68.13</c:v>
                </c:pt>
                <c:pt idx="106">
                  <c:v>67.998999999999995</c:v>
                </c:pt>
                <c:pt idx="107">
                  <c:v>67.888999999999996</c:v>
                </c:pt>
                <c:pt idx="108">
                  <c:v>68.007000000000005</c:v>
                </c:pt>
                <c:pt idx="109">
                  <c:v>67.837000000000003</c:v>
                </c:pt>
                <c:pt idx="110">
                  <c:v>67.936999999999998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E176-3A4C-B3AE-BA48290A915E}"/>
            </c:ext>
          </c:extLst>
        </c:ser>
        <c:ser>
          <c:idx val="5"/>
          <c:order val="1"/>
          <c:tx>
            <c:v> 3" Propeller</c:v>
          </c:tx>
          <c:spPr>
            <a:ln w="25400">
              <a:solidFill>
                <a:schemeClr val="accent3">
                  <a:lumMod val="60000"/>
                  <a:lumOff val="40000"/>
                </a:schemeClr>
              </a:solidFill>
            </a:ln>
          </c:spPr>
          <c:marker>
            <c:symbol val="none"/>
          </c:marker>
          <c:xVal>
            <c:numRef>
              <c:f>'Datura Comparison'!$L$4:$L$114</c:f>
              <c:numCache>
                <c:formatCode>General</c:formatCode>
                <c:ptCount val="111"/>
                <c:pt idx="0">
                  <c:v>-1</c:v>
                </c:pt>
                <c:pt idx="1">
                  <c:v>-0.93384100000000003</c:v>
                </c:pt>
                <c:pt idx="2">
                  <c:v>-0.82036200000000004</c:v>
                </c:pt>
                <c:pt idx="3">
                  <c:v>-0.74048099999999994</c:v>
                </c:pt>
                <c:pt idx="4">
                  <c:v>-0.58836200000000005</c:v>
                </c:pt>
                <c:pt idx="5">
                  <c:v>-0.47752600000000001</c:v>
                </c:pt>
                <c:pt idx="6">
                  <c:v>-0.39816099999999999</c:v>
                </c:pt>
                <c:pt idx="7">
                  <c:v>-0.333731</c:v>
                </c:pt>
                <c:pt idx="8">
                  <c:v>-0.222557</c:v>
                </c:pt>
                <c:pt idx="9">
                  <c:v>-0.14262600000000003</c:v>
                </c:pt>
                <c:pt idx="10">
                  <c:v>-7.8313999999999995E-2</c:v>
                </c:pt>
                <c:pt idx="11">
                  <c:v>1.4739999999999975E-2</c:v>
                </c:pt>
                <c:pt idx="12">
                  <c:v>0.11880000000000002</c:v>
                </c:pt>
                <c:pt idx="13">
                  <c:v>0.19204500000000002</c:v>
                </c:pt>
                <c:pt idx="14">
                  <c:v>0.30304200000000003</c:v>
                </c:pt>
                <c:pt idx="15">
                  <c:v>0.38240500000000011</c:v>
                </c:pt>
                <c:pt idx="16">
                  <c:v>0.44741699999999995</c:v>
                </c:pt>
                <c:pt idx="17">
                  <c:v>0.57223599999999997</c:v>
                </c:pt>
                <c:pt idx="18">
                  <c:v>0.65201200000000004</c:v>
                </c:pt>
                <c:pt idx="19">
                  <c:v>0.72675000000000001</c:v>
                </c:pt>
                <c:pt idx="20">
                  <c:v>0.8473170000000001</c:v>
                </c:pt>
                <c:pt idx="21">
                  <c:v>0.92535499999999993</c:v>
                </c:pt>
                <c:pt idx="22">
                  <c:v>1.014815</c:v>
                </c:pt>
                <c:pt idx="23">
                  <c:v>1.0925210000000001</c:v>
                </c:pt>
                <c:pt idx="24">
                  <c:v>1.2011599999999998</c:v>
                </c:pt>
                <c:pt idx="25">
                  <c:v>1.2782610000000001</c:v>
                </c:pt>
                <c:pt idx="26">
                  <c:v>1.387178</c:v>
                </c:pt>
                <c:pt idx="27">
                  <c:v>1.4649320000000001</c:v>
                </c:pt>
                <c:pt idx="28">
                  <c:v>1.5726239999999998</c:v>
                </c:pt>
                <c:pt idx="29">
                  <c:v>1.6499459999999999</c:v>
                </c:pt>
                <c:pt idx="30">
                  <c:v>1.75787</c:v>
                </c:pt>
                <c:pt idx="31">
                  <c:v>1.8352270000000002</c:v>
                </c:pt>
                <c:pt idx="32">
                  <c:v>1.9429340000000002</c:v>
                </c:pt>
                <c:pt idx="33">
                  <c:v>2.0206300000000001</c:v>
                </c:pt>
                <c:pt idx="34">
                  <c:v>2.1302249999999998</c:v>
                </c:pt>
                <c:pt idx="35">
                  <c:v>2.207821</c:v>
                </c:pt>
                <c:pt idx="36">
                  <c:v>2.3161849999999999</c:v>
                </c:pt>
                <c:pt idx="37">
                  <c:v>2.3936220000000001</c:v>
                </c:pt>
                <c:pt idx="38">
                  <c:v>2.5021689999999999</c:v>
                </c:pt>
                <c:pt idx="39">
                  <c:v>2.581251</c:v>
                </c:pt>
                <c:pt idx="40">
                  <c:v>2.6888860000000001</c:v>
                </c:pt>
                <c:pt idx="41">
                  <c:v>2.7693400000000001</c:v>
                </c:pt>
                <c:pt idx="42">
                  <c:v>2.8780929999999998</c:v>
                </c:pt>
                <c:pt idx="43">
                  <c:v>2.9557190000000002</c:v>
                </c:pt>
                <c:pt idx="44">
                  <c:v>3.0644150000000003</c:v>
                </c:pt>
                <c:pt idx="45">
                  <c:v>3.1422470000000002</c:v>
                </c:pt>
                <c:pt idx="46">
                  <c:v>3.2055850000000001</c:v>
                </c:pt>
                <c:pt idx="47">
                  <c:v>3.32186</c:v>
                </c:pt>
                <c:pt idx="48">
                  <c:v>3.3997580000000003</c:v>
                </c:pt>
                <c:pt idx="49">
                  <c:v>3.5143380000000004</c:v>
                </c:pt>
                <c:pt idx="50">
                  <c:v>3.6040859999999997</c:v>
                </c:pt>
                <c:pt idx="51">
                  <c:v>3.6706120000000002</c:v>
                </c:pt>
                <c:pt idx="52">
                  <c:v>3.7919299999999998</c:v>
                </c:pt>
                <c:pt idx="53">
                  <c:v>3.8705530000000001</c:v>
                </c:pt>
                <c:pt idx="54">
                  <c:v>3.9794939999999999</c:v>
                </c:pt>
                <c:pt idx="55">
                  <c:v>4.0578070000000004</c:v>
                </c:pt>
                <c:pt idx="56">
                  <c:v>4.1662949999999999</c:v>
                </c:pt>
                <c:pt idx="57">
                  <c:v>4.2441740000000001</c:v>
                </c:pt>
                <c:pt idx="58">
                  <c:v>4.3527360000000002</c:v>
                </c:pt>
                <c:pt idx="59">
                  <c:v>4.430199</c:v>
                </c:pt>
                <c:pt idx="60">
                  <c:v>4.5379940000000003</c:v>
                </c:pt>
                <c:pt idx="61">
                  <c:v>4.6157149999999998</c:v>
                </c:pt>
                <c:pt idx="62">
                  <c:v>4.7238439999999997</c:v>
                </c:pt>
                <c:pt idx="63">
                  <c:v>4.8012170000000003</c:v>
                </c:pt>
                <c:pt idx="64">
                  <c:v>4.8638399999999997</c:v>
                </c:pt>
                <c:pt idx="65">
                  <c:v>4.9718970000000002</c:v>
                </c:pt>
                <c:pt idx="66">
                  <c:v>5.0491339999999996</c:v>
                </c:pt>
                <c:pt idx="67">
                  <c:v>5.1588789999999998</c:v>
                </c:pt>
                <c:pt idx="68">
                  <c:v>5.2368490000000003</c:v>
                </c:pt>
                <c:pt idx="69">
                  <c:v>5.3456049999999999</c:v>
                </c:pt>
                <c:pt idx="70">
                  <c:v>5.4238799999999996</c:v>
                </c:pt>
                <c:pt idx="71">
                  <c:v>5.5142980000000001</c:v>
                </c:pt>
                <c:pt idx="72">
                  <c:v>5.6167769999999999</c:v>
                </c:pt>
                <c:pt idx="73">
                  <c:v>5.7260530000000003</c:v>
                </c:pt>
                <c:pt idx="74">
                  <c:v>5.8036430000000001</c:v>
                </c:pt>
                <c:pt idx="75">
                  <c:v>5.9118300000000001</c:v>
                </c:pt>
                <c:pt idx="76">
                  <c:v>5.9898689999999997</c:v>
                </c:pt>
                <c:pt idx="77">
                  <c:v>6.0994650000000004</c:v>
                </c:pt>
                <c:pt idx="78">
                  <c:v>6.1781680000000003</c:v>
                </c:pt>
                <c:pt idx="79">
                  <c:v>6.2937279999999998</c:v>
                </c:pt>
                <c:pt idx="80">
                  <c:v>6.3711070000000003</c:v>
                </c:pt>
                <c:pt idx="81">
                  <c:v>6.4335750000000003</c:v>
                </c:pt>
                <c:pt idx="82">
                  <c:v>6.5579559999999999</c:v>
                </c:pt>
                <c:pt idx="83">
                  <c:v>6.6370009999999997</c:v>
                </c:pt>
                <c:pt idx="84">
                  <c:v>6.744802</c:v>
                </c:pt>
                <c:pt idx="85">
                  <c:v>6.8227130000000002</c:v>
                </c:pt>
                <c:pt idx="86">
                  <c:v>6.914428</c:v>
                </c:pt>
                <c:pt idx="87">
                  <c:v>7.0040200000000006</c:v>
                </c:pt>
                <c:pt idx="88">
                  <c:v>7.115202</c:v>
                </c:pt>
                <c:pt idx="89">
                  <c:v>7.1940299999999997</c:v>
                </c:pt>
                <c:pt idx="90">
                  <c:v>7.2579049999999992</c:v>
                </c:pt>
                <c:pt idx="91">
                  <c:v>7.3666859999999996</c:v>
                </c:pt>
                <c:pt idx="92">
                  <c:v>7.4446449999999995</c:v>
                </c:pt>
                <c:pt idx="93">
                  <c:v>7.5530139999999992</c:v>
                </c:pt>
                <c:pt idx="94">
                  <c:v>7.6310140000000004</c:v>
                </c:pt>
                <c:pt idx="95">
                  <c:v>7.7396919999999998</c:v>
                </c:pt>
                <c:pt idx="96">
                  <c:v>7.817043</c:v>
                </c:pt>
                <c:pt idx="97">
                  <c:v>7.9263370000000002</c:v>
                </c:pt>
                <c:pt idx="98">
                  <c:v>8.0046579999999992</c:v>
                </c:pt>
                <c:pt idx="99">
                  <c:v>8.1139600000000005</c:v>
                </c:pt>
                <c:pt idx="100">
                  <c:v>8.1925240000000006</c:v>
                </c:pt>
                <c:pt idx="101">
                  <c:v>8.3015559999999997</c:v>
                </c:pt>
                <c:pt idx="102">
                  <c:v>8.3789560000000005</c:v>
                </c:pt>
                <c:pt idx="103">
                  <c:v>8.4880410000000008</c:v>
                </c:pt>
                <c:pt idx="104">
                  <c:v>8.5662839999999996</c:v>
                </c:pt>
                <c:pt idx="105">
                  <c:v>8.675497</c:v>
                </c:pt>
                <c:pt idx="106">
                  <c:v>8.7537280000000006</c:v>
                </c:pt>
                <c:pt idx="107">
                  <c:v>8.8639060000000001</c:v>
                </c:pt>
                <c:pt idx="108">
                  <c:v>8.9434819999999995</c:v>
                </c:pt>
                <c:pt idx="109">
                  <c:v>9.0081260000000007</c:v>
                </c:pt>
                <c:pt idx="110">
                  <c:v>9.1183929999999993</c:v>
                </c:pt>
              </c:numCache>
            </c:numRef>
          </c:xVal>
          <c:yVal>
            <c:numRef>
              <c:f>'Datura Comparison'!$I$4:$I$115</c:f>
              <c:numCache>
                <c:formatCode>General</c:formatCode>
                <c:ptCount val="112"/>
                <c:pt idx="0">
                  <c:v>7.4999999999999997E-2</c:v>
                </c:pt>
                <c:pt idx="1">
                  <c:v>0.107</c:v>
                </c:pt>
                <c:pt idx="2">
                  <c:v>0.158</c:v>
                </c:pt>
                <c:pt idx="3">
                  <c:v>0.109</c:v>
                </c:pt>
                <c:pt idx="4">
                  <c:v>7.8E-2</c:v>
                </c:pt>
                <c:pt idx="5">
                  <c:v>7.4999999999999997E-2</c:v>
                </c:pt>
                <c:pt idx="6">
                  <c:v>0.13900000000000001</c:v>
                </c:pt>
                <c:pt idx="7">
                  <c:v>0.13300000000000001</c:v>
                </c:pt>
                <c:pt idx="8">
                  <c:v>0.08</c:v>
                </c:pt>
                <c:pt idx="9">
                  <c:v>0.111</c:v>
                </c:pt>
                <c:pt idx="10">
                  <c:v>0.11899999999999999</c:v>
                </c:pt>
                <c:pt idx="11">
                  <c:v>0.12</c:v>
                </c:pt>
                <c:pt idx="12">
                  <c:v>0.05</c:v>
                </c:pt>
                <c:pt idx="13">
                  <c:v>-2E-3</c:v>
                </c:pt>
                <c:pt idx="14">
                  <c:v>2.5999999999999999E-2</c:v>
                </c:pt>
                <c:pt idx="15">
                  <c:v>7.3999999999999996E-2</c:v>
                </c:pt>
                <c:pt idx="16">
                  <c:v>0.252</c:v>
                </c:pt>
                <c:pt idx="17">
                  <c:v>3.2120000000000002</c:v>
                </c:pt>
                <c:pt idx="18">
                  <c:v>10.167</c:v>
                </c:pt>
                <c:pt idx="19">
                  <c:v>13.103</c:v>
                </c:pt>
                <c:pt idx="20">
                  <c:v>13.077</c:v>
                </c:pt>
                <c:pt idx="21">
                  <c:v>12.977</c:v>
                </c:pt>
                <c:pt idx="22">
                  <c:v>12.958</c:v>
                </c:pt>
                <c:pt idx="23">
                  <c:v>12.944000000000001</c:v>
                </c:pt>
                <c:pt idx="24">
                  <c:v>12.941000000000001</c:v>
                </c:pt>
                <c:pt idx="25">
                  <c:v>12.855</c:v>
                </c:pt>
                <c:pt idx="26">
                  <c:v>12.776</c:v>
                </c:pt>
                <c:pt idx="27">
                  <c:v>12.78</c:v>
                </c:pt>
                <c:pt idx="28">
                  <c:v>12.881</c:v>
                </c:pt>
                <c:pt idx="29">
                  <c:v>12.894</c:v>
                </c:pt>
                <c:pt idx="30">
                  <c:v>12.867000000000001</c:v>
                </c:pt>
                <c:pt idx="31">
                  <c:v>12.938000000000001</c:v>
                </c:pt>
                <c:pt idx="32">
                  <c:v>12.903</c:v>
                </c:pt>
                <c:pt idx="33">
                  <c:v>12.874000000000001</c:v>
                </c:pt>
                <c:pt idx="34">
                  <c:v>12.938000000000001</c:v>
                </c:pt>
                <c:pt idx="35">
                  <c:v>12.925000000000001</c:v>
                </c:pt>
                <c:pt idx="36">
                  <c:v>12.86</c:v>
                </c:pt>
                <c:pt idx="37">
                  <c:v>12.877000000000001</c:v>
                </c:pt>
                <c:pt idx="38">
                  <c:v>12.861000000000001</c:v>
                </c:pt>
                <c:pt idx="39">
                  <c:v>12.942</c:v>
                </c:pt>
                <c:pt idx="40">
                  <c:v>12.981999999999999</c:v>
                </c:pt>
                <c:pt idx="41">
                  <c:v>12.99</c:v>
                </c:pt>
                <c:pt idx="42">
                  <c:v>12.951000000000001</c:v>
                </c:pt>
                <c:pt idx="43">
                  <c:v>12.901999999999999</c:v>
                </c:pt>
                <c:pt idx="44">
                  <c:v>12.891999999999999</c:v>
                </c:pt>
                <c:pt idx="45">
                  <c:v>12.9</c:v>
                </c:pt>
                <c:pt idx="46">
                  <c:v>12.946999999999999</c:v>
                </c:pt>
                <c:pt idx="47">
                  <c:v>13.16</c:v>
                </c:pt>
                <c:pt idx="48">
                  <c:v>19.658000000000001</c:v>
                </c:pt>
                <c:pt idx="49">
                  <c:v>34.445</c:v>
                </c:pt>
                <c:pt idx="50">
                  <c:v>40.579000000000001</c:v>
                </c:pt>
                <c:pt idx="51">
                  <c:v>41.280999999999999</c:v>
                </c:pt>
                <c:pt idx="52">
                  <c:v>41.372</c:v>
                </c:pt>
                <c:pt idx="53">
                  <c:v>41.487000000000002</c:v>
                </c:pt>
                <c:pt idx="54">
                  <c:v>41.353000000000002</c:v>
                </c:pt>
                <c:pt idx="55">
                  <c:v>41.390999999999998</c:v>
                </c:pt>
                <c:pt idx="56">
                  <c:v>41.523000000000003</c:v>
                </c:pt>
                <c:pt idx="57">
                  <c:v>41.372</c:v>
                </c:pt>
                <c:pt idx="58">
                  <c:v>41.213999999999999</c:v>
                </c:pt>
                <c:pt idx="59">
                  <c:v>41.05</c:v>
                </c:pt>
                <c:pt idx="60">
                  <c:v>40.997</c:v>
                </c:pt>
                <c:pt idx="61">
                  <c:v>41.14</c:v>
                </c:pt>
                <c:pt idx="62">
                  <c:v>40.956000000000003</c:v>
                </c:pt>
                <c:pt idx="63">
                  <c:v>40.920999999999999</c:v>
                </c:pt>
                <c:pt idx="64">
                  <c:v>40.956000000000003</c:v>
                </c:pt>
                <c:pt idx="65">
                  <c:v>41.006999999999998</c:v>
                </c:pt>
                <c:pt idx="66">
                  <c:v>41.064999999999998</c:v>
                </c:pt>
                <c:pt idx="67">
                  <c:v>41.063000000000002</c:v>
                </c:pt>
                <c:pt idx="68">
                  <c:v>41.118000000000002</c:v>
                </c:pt>
                <c:pt idx="69">
                  <c:v>41.149000000000001</c:v>
                </c:pt>
                <c:pt idx="70">
                  <c:v>41.11</c:v>
                </c:pt>
                <c:pt idx="71">
                  <c:v>41.152000000000001</c:v>
                </c:pt>
                <c:pt idx="72">
                  <c:v>41.213999999999999</c:v>
                </c:pt>
                <c:pt idx="73">
                  <c:v>41.21</c:v>
                </c:pt>
                <c:pt idx="74">
                  <c:v>41.042999999999999</c:v>
                </c:pt>
                <c:pt idx="75">
                  <c:v>41.097999999999999</c:v>
                </c:pt>
                <c:pt idx="76">
                  <c:v>41.075000000000003</c:v>
                </c:pt>
                <c:pt idx="77">
                  <c:v>41.043999999999997</c:v>
                </c:pt>
                <c:pt idx="78">
                  <c:v>41.146999999999998</c:v>
                </c:pt>
                <c:pt idx="79">
                  <c:v>41.121000000000002</c:v>
                </c:pt>
                <c:pt idx="80">
                  <c:v>41.433</c:v>
                </c:pt>
                <c:pt idx="81">
                  <c:v>51.286000000000001</c:v>
                </c:pt>
                <c:pt idx="82">
                  <c:v>71.957999999999998</c:v>
                </c:pt>
                <c:pt idx="83">
                  <c:v>78.744</c:v>
                </c:pt>
                <c:pt idx="84">
                  <c:v>79.454999999999998</c:v>
                </c:pt>
                <c:pt idx="85">
                  <c:v>79.343999999999994</c:v>
                </c:pt>
                <c:pt idx="86">
                  <c:v>79.251000000000005</c:v>
                </c:pt>
                <c:pt idx="87">
                  <c:v>79.394000000000005</c:v>
                </c:pt>
                <c:pt idx="88">
                  <c:v>79.299000000000007</c:v>
                </c:pt>
                <c:pt idx="89">
                  <c:v>79.066000000000003</c:v>
                </c:pt>
                <c:pt idx="90">
                  <c:v>79.114999999999995</c:v>
                </c:pt>
                <c:pt idx="91">
                  <c:v>79.308000000000007</c:v>
                </c:pt>
                <c:pt idx="92">
                  <c:v>79.14</c:v>
                </c:pt>
                <c:pt idx="93">
                  <c:v>78.975999999999999</c:v>
                </c:pt>
                <c:pt idx="94">
                  <c:v>78.912999999999997</c:v>
                </c:pt>
                <c:pt idx="95">
                  <c:v>78.793000000000006</c:v>
                </c:pt>
                <c:pt idx="96">
                  <c:v>78.787000000000006</c:v>
                </c:pt>
                <c:pt idx="97">
                  <c:v>78.706000000000003</c:v>
                </c:pt>
                <c:pt idx="98">
                  <c:v>78.59</c:v>
                </c:pt>
                <c:pt idx="99">
                  <c:v>78.849999999999994</c:v>
                </c:pt>
                <c:pt idx="100">
                  <c:v>78.748999999999995</c:v>
                </c:pt>
                <c:pt idx="101">
                  <c:v>78.539000000000001</c:v>
                </c:pt>
                <c:pt idx="102">
                  <c:v>78.41</c:v>
                </c:pt>
                <c:pt idx="103">
                  <c:v>78.466999999999999</c:v>
                </c:pt>
                <c:pt idx="104">
                  <c:v>78.397000000000006</c:v>
                </c:pt>
                <c:pt idx="105">
                  <c:v>78.332999999999998</c:v>
                </c:pt>
                <c:pt idx="106">
                  <c:v>78.245999999999995</c:v>
                </c:pt>
                <c:pt idx="107">
                  <c:v>78.31</c:v>
                </c:pt>
                <c:pt idx="108">
                  <c:v>78.277000000000001</c:v>
                </c:pt>
                <c:pt idx="109">
                  <c:v>78.471999999999994</c:v>
                </c:pt>
                <c:pt idx="110">
                  <c:v>78.445999999999998</c:v>
                </c:pt>
                <c:pt idx="111">
                  <c:v>78.338999999999999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E176-3A4C-B3AE-BA48290A915E}"/>
            </c:ext>
          </c:extLst>
        </c:ser>
        <c:ser>
          <c:idx val="6"/>
          <c:order val="2"/>
          <c:tx>
            <c:v> 3.5" Propeller</c:v>
          </c:tx>
          <c:spPr>
            <a:ln w="25400">
              <a:solidFill>
                <a:schemeClr val="accent4">
                  <a:lumMod val="60000"/>
                  <a:lumOff val="40000"/>
                </a:schemeClr>
              </a:solidFill>
            </a:ln>
          </c:spPr>
          <c:marker>
            <c:symbol val="none"/>
          </c:marker>
          <c:xVal>
            <c:numRef>
              <c:f>'Datura Comparison'!$Q$4:$Q$114</c:f>
              <c:numCache>
                <c:formatCode>General</c:formatCode>
                <c:ptCount val="111"/>
                <c:pt idx="0">
                  <c:v>-1</c:v>
                </c:pt>
                <c:pt idx="1">
                  <c:v>-0.89768499999999996</c:v>
                </c:pt>
                <c:pt idx="2">
                  <c:v>-0.79012700000000002</c:v>
                </c:pt>
                <c:pt idx="3">
                  <c:v>-0.71203100000000008</c:v>
                </c:pt>
                <c:pt idx="4">
                  <c:v>-0.60577900000000007</c:v>
                </c:pt>
                <c:pt idx="5">
                  <c:v>-0.527945</c:v>
                </c:pt>
                <c:pt idx="6">
                  <c:v>-0.42027599999999998</c:v>
                </c:pt>
                <c:pt idx="7">
                  <c:v>-0.34210099999999999</c:v>
                </c:pt>
                <c:pt idx="8">
                  <c:v>-0.23547499999999999</c:v>
                </c:pt>
                <c:pt idx="9">
                  <c:v>-0.15701399999999999</c:v>
                </c:pt>
                <c:pt idx="10">
                  <c:v>-5.1219000000000015E-2</c:v>
                </c:pt>
                <c:pt idx="11">
                  <c:v>2.653900000000009E-2</c:v>
                </c:pt>
                <c:pt idx="12">
                  <c:v>0.14241799999999993</c:v>
                </c:pt>
                <c:pt idx="13">
                  <c:v>0.221557</c:v>
                </c:pt>
                <c:pt idx="14">
                  <c:v>0.28492899999999999</c:v>
                </c:pt>
                <c:pt idx="15">
                  <c:v>0.3925320000000001</c:v>
                </c:pt>
                <c:pt idx="16">
                  <c:v>0.48358799999999991</c:v>
                </c:pt>
                <c:pt idx="17">
                  <c:v>0.56181499999999995</c:v>
                </c:pt>
                <c:pt idx="18">
                  <c:v>0.68094699999999997</c:v>
                </c:pt>
                <c:pt idx="19">
                  <c:v>0.77048699999999992</c:v>
                </c:pt>
                <c:pt idx="20">
                  <c:v>0.83604100000000003</c:v>
                </c:pt>
                <c:pt idx="21">
                  <c:v>0.943249</c:v>
                </c:pt>
                <c:pt idx="22">
                  <c:v>1.0216560000000001</c:v>
                </c:pt>
                <c:pt idx="23">
                  <c:v>1.1105260000000001</c:v>
                </c:pt>
                <c:pt idx="24">
                  <c:v>1.2127249999999998</c:v>
                </c:pt>
                <c:pt idx="25">
                  <c:v>1.3199779999999999</c:v>
                </c:pt>
                <c:pt idx="26">
                  <c:v>1.3984899999999998</c:v>
                </c:pt>
                <c:pt idx="27">
                  <c:v>1.506446</c:v>
                </c:pt>
                <c:pt idx="28">
                  <c:v>1.5859260000000002</c:v>
                </c:pt>
                <c:pt idx="29">
                  <c:v>1.6923629999999998</c:v>
                </c:pt>
                <c:pt idx="30">
                  <c:v>1.7696429999999999</c:v>
                </c:pt>
                <c:pt idx="31">
                  <c:v>1.875127</c:v>
                </c:pt>
                <c:pt idx="32">
                  <c:v>1.952064</c:v>
                </c:pt>
                <c:pt idx="33">
                  <c:v>2.058942</c:v>
                </c:pt>
                <c:pt idx="34">
                  <c:v>2.137108</c:v>
                </c:pt>
                <c:pt idx="35">
                  <c:v>2.2489129999999999</c:v>
                </c:pt>
                <c:pt idx="36">
                  <c:v>2.3279380000000001</c:v>
                </c:pt>
                <c:pt idx="37">
                  <c:v>2.4347859999999999</c:v>
                </c:pt>
                <c:pt idx="38">
                  <c:v>2.5122309999999999</c:v>
                </c:pt>
                <c:pt idx="39">
                  <c:v>2.6181260000000002</c:v>
                </c:pt>
                <c:pt idx="40">
                  <c:v>2.6952600000000002</c:v>
                </c:pt>
                <c:pt idx="41">
                  <c:v>2.8004579999999999</c:v>
                </c:pt>
                <c:pt idx="42">
                  <c:v>2.8784019999999999</c:v>
                </c:pt>
                <c:pt idx="43">
                  <c:v>2.9852609999999999</c:v>
                </c:pt>
                <c:pt idx="44">
                  <c:v>3.062576</c:v>
                </c:pt>
                <c:pt idx="45">
                  <c:v>3.1773730000000002</c:v>
                </c:pt>
                <c:pt idx="46">
                  <c:v>3.2552269999999996</c:v>
                </c:pt>
                <c:pt idx="47">
                  <c:v>3.3160800000000004</c:v>
                </c:pt>
                <c:pt idx="48">
                  <c:v>3.4392509999999996</c:v>
                </c:pt>
                <c:pt idx="49">
                  <c:v>3.5275040000000004</c:v>
                </c:pt>
                <c:pt idx="50">
                  <c:v>3.6363000000000003</c:v>
                </c:pt>
                <c:pt idx="51">
                  <c:v>3.7135220000000002</c:v>
                </c:pt>
                <c:pt idx="52">
                  <c:v>3.818181</c:v>
                </c:pt>
                <c:pt idx="53">
                  <c:v>3.8946649999999998</c:v>
                </c:pt>
                <c:pt idx="54">
                  <c:v>4.0002149999999999</c:v>
                </c:pt>
                <c:pt idx="55">
                  <c:v>4.0771980000000001</c:v>
                </c:pt>
                <c:pt idx="56">
                  <c:v>4.1832289999999999</c:v>
                </c:pt>
                <c:pt idx="57">
                  <c:v>4.2605599999999999</c:v>
                </c:pt>
                <c:pt idx="58">
                  <c:v>4.3651999999999997</c:v>
                </c:pt>
                <c:pt idx="59">
                  <c:v>4.4418670000000002</c:v>
                </c:pt>
                <c:pt idx="60">
                  <c:v>4.5458809999999996</c:v>
                </c:pt>
                <c:pt idx="61">
                  <c:v>4.6219200000000003</c:v>
                </c:pt>
                <c:pt idx="62">
                  <c:v>4.7255880000000001</c:v>
                </c:pt>
                <c:pt idx="63">
                  <c:v>4.8021050000000001</c:v>
                </c:pt>
                <c:pt idx="64">
                  <c:v>4.9070460000000002</c:v>
                </c:pt>
                <c:pt idx="65">
                  <c:v>4.9845179999999996</c:v>
                </c:pt>
                <c:pt idx="66">
                  <c:v>5.0908379999999998</c:v>
                </c:pt>
                <c:pt idx="67">
                  <c:v>5.1682899999999998</c:v>
                </c:pt>
                <c:pt idx="68">
                  <c:v>5.2725090000000003</c:v>
                </c:pt>
                <c:pt idx="69">
                  <c:v>5.3489820000000003</c:v>
                </c:pt>
                <c:pt idx="70">
                  <c:v>5.4542130000000002</c:v>
                </c:pt>
                <c:pt idx="71">
                  <c:v>5.5308320000000002</c:v>
                </c:pt>
                <c:pt idx="72">
                  <c:v>5.6345999999999998</c:v>
                </c:pt>
                <c:pt idx="73">
                  <c:v>5.7110599999999998</c:v>
                </c:pt>
                <c:pt idx="74">
                  <c:v>5.8164429999999996</c:v>
                </c:pt>
                <c:pt idx="75">
                  <c:v>5.9165970000000003</c:v>
                </c:pt>
                <c:pt idx="76">
                  <c:v>6.021935</c:v>
                </c:pt>
                <c:pt idx="77">
                  <c:v>6.099672</c:v>
                </c:pt>
                <c:pt idx="78">
                  <c:v>6.2121709999999997</c:v>
                </c:pt>
                <c:pt idx="79">
                  <c:v>6.2892479999999997</c:v>
                </c:pt>
                <c:pt idx="80">
                  <c:v>6.3940270000000003</c:v>
                </c:pt>
                <c:pt idx="81">
                  <c:v>6.4853639999999997</c:v>
                </c:pt>
                <c:pt idx="82">
                  <c:v>6.548902</c:v>
                </c:pt>
                <c:pt idx="83">
                  <c:v>6.6662730000000003</c:v>
                </c:pt>
                <c:pt idx="84">
                  <c:v>6.7434859999999999</c:v>
                </c:pt>
                <c:pt idx="85">
                  <c:v>6.8478440000000003</c:v>
                </c:pt>
                <c:pt idx="86">
                  <c:v>6.9238390000000001</c:v>
                </c:pt>
                <c:pt idx="87">
                  <c:v>7.0106219999999997</c:v>
                </c:pt>
                <c:pt idx="88">
                  <c:v>7.1112870000000008</c:v>
                </c:pt>
                <c:pt idx="89">
                  <c:v>7.2162970000000008</c:v>
                </c:pt>
                <c:pt idx="90">
                  <c:v>7.2936890000000005</c:v>
                </c:pt>
                <c:pt idx="91">
                  <c:v>7.3991249999999997</c:v>
                </c:pt>
                <c:pt idx="92">
                  <c:v>7.4757020000000001</c:v>
                </c:pt>
                <c:pt idx="93">
                  <c:v>7.5798210000000008</c:v>
                </c:pt>
                <c:pt idx="94">
                  <c:v>7.656212</c:v>
                </c:pt>
                <c:pt idx="95">
                  <c:v>7.7633639999999993</c:v>
                </c:pt>
                <c:pt idx="96">
                  <c:v>7.8416040000000002</c:v>
                </c:pt>
                <c:pt idx="97">
                  <c:v>7.9473909999999997</c:v>
                </c:pt>
                <c:pt idx="98">
                  <c:v>8.024381</c:v>
                </c:pt>
                <c:pt idx="99">
                  <c:v>8.1296890000000008</c:v>
                </c:pt>
                <c:pt idx="100">
                  <c:v>8.2066660000000002</c:v>
                </c:pt>
                <c:pt idx="101">
                  <c:v>8.3127809999999993</c:v>
                </c:pt>
                <c:pt idx="102">
                  <c:v>8.3891559999999998</c:v>
                </c:pt>
                <c:pt idx="103">
                  <c:v>8.4939490000000006</c:v>
                </c:pt>
                <c:pt idx="104">
                  <c:v>8.5705270000000002</c:v>
                </c:pt>
                <c:pt idx="105">
                  <c:v>8.6765129999999999</c:v>
                </c:pt>
                <c:pt idx="106">
                  <c:v>8.7532870000000003</c:v>
                </c:pt>
                <c:pt idx="107">
                  <c:v>8.8587319999999998</c:v>
                </c:pt>
                <c:pt idx="108">
                  <c:v>8.9369639999999997</c:v>
                </c:pt>
                <c:pt idx="109">
                  <c:v>9.0423799999999996</c:v>
                </c:pt>
                <c:pt idx="110">
                  <c:v>9.1195850000000007</c:v>
                </c:pt>
              </c:numCache>
            </c:numRef>
          </c:xVal>
          <c:yVal>
            <c:numRef>
              <c:f>'Datura Comparison'!$O$4:$O$114</c:f>
              <c:numCache>
                <c:formatCode>General</c:formatCode>
                <c:ptCount val="111"/>
                <c:pt idx="0">
                  <c:v>5.0000000000000001E-3</c:v>
                </c:pt>
                <c:pt idx="1">
                  <c:v>-3.0000000000000001E-3</c:v>
                </c:pt>
                <c:pt idx="2">
                  <c:v>-2.8000000000000001E-2</c:v>
                </c:pt>
                <c:pt idx="3">
                  <c:v>-2.1999999999999999E-2</c:v>
                </c:pt>
                <c:pt idx="4">
                  <c:v>-1.4999999999999999E-2</c:v>
                </c:pt>
                <c:pt idx="5">
                  <c:v>-2.1000000000000001E-2</c:v>
                </c:pt>
                <c:pt idx="6">
                  <c:v>-1.4999999999999999E-2</c:v>
                </c:pt>
                <c:pt idx="7">
                  <c:v>-9.2999999999999999E-2</c:v>
                </c:pt>
                <c:pt idx="8">
                  <c:v>-6.3E-2</c:v>
                </c:pt>
                <c:pt idx="9">
                  <c:v>-0.08</c:v>
                </c:pt>
                <c:pt idx="10">
                  <c:v>-2.4E-2</c:v>
                </c:pt>
                <c:pt idx="11">
                  <c:v>-6.3E-2</c:v>
                </c:pt>
                <c:pt idx="12">
                  <c:v>-3.4000000000000002E-2</c:v>
                </c:pt>
                <c:pt idx="13">
                  <c:v>-4.3999999999999997E-2</c:v>
                </c:pt>
                <c:pt idx="14">
                  <c:v>-6.7000000000000004E-2</c:v>
                </c:pt>
                <c:pt idx="15">
                  <c:v>0.13200000000000001</c:v>
                </c:pt>
                <c:pt idx="16">
                  <c:v>3.8220000000000001</c:v>
                </c:pt>
                <c:pt idx="17">
                  <c:v>13.125</c:v>
                </c:pt>
                <c:pt idx="18">
                  <c:v>22.428000000000001</c:v>
                </c:pt>
                <c:pt idx="19">
                  <c:v>24.244</c:v>
                </c:pt>
                <c:pt idx="20">
                  <c:v>24.492000000000001</c:v>
                </c:pt>
                <c:pt idx="21">
                  <c:v>24.466999999999999</c:v>
                </c:pt>
                <c:pt idx="22">
                  <c:v>24.472000000000001</c:v>
                </c:pt>
                <c:pt idx="23">
                  <c:v>24.552</c:v>
                </c:pt>
                <c:pt idx="24">
                  <c:v>24.54</c:v>
                </c:pt>
                <c:pt idx="25">
                  <c:v>24.46</c:v>
                </c:pt>
                <c:pt idx="26">
                  <c:v>24.434999999999999</c:v>
                </c:pt>
                <c:pt idx="27">
                  <c:v>24.425000000000001</c:v>
                </c:pt>
                <c:pt idx="28">
                  <c:v>24.43</c:v>
                </c:pt>
                <c:pt idx="29">
                  <c:v>24.527999999999999</c:v>
                </c:pt>
                <c:pt idx="30">
                  <c:v>24.536000000000001</c:v>
                </c:pt>
                <c:pt idx="31">
                  <c:v>24.533000000000001</c:v>
                </c:pt>
                <c:pt idx="32">
                  <c:v>24.548999999999999</c:v>
                </c:pt>
                <c:pt idx="33">
                  <c:v>24.518000000000001</c:v>
                </c:pt>
                <c:pt idx="34">
                  <c:v>24.559000000000001</c:v>
                </c:pt>
                <c:pt idx="35">
                  <c:v>24.565999999999999</c:v>
                </c:pt>
                <c:pt idx="36">
                  <c:v>24.527999999999999</c:v>
                </c:pt>
                <c:pt idx="37">
                  <c:v>24.437999999999999</c:v>
                </c:pt>
                <c:pt idx="38">
                  <c:v>24.515000000000001</c:v>
                </c:pt>
                <c:pt idx="39">
                  <c:v>24.565999999999999</c:v>
                </c:pt>
                <c:pt idx="40">
                  <c:v>24.459</c:v>
                </c:pt>
                <c:pt idx="41">
                  <c:v>24.353000000000002</c:v>
                </c:pt>
                <c:pt idx="42">
                  <c:v>24.443000000000001</c:v>
                </c:pt>
                <c:pt idx="43">
                  <c:v>24.52</c:v>
                </c:pt>
                <c:pt idx="44">
                  <c:v>24.518000000000001</c:v>
                </c:pt>
                <c:pt idx="45">
                  <c:v>24.443999999999999</c:v>
                </c:pt>
                <c:pt idx="46">
                  <c:v>24.806999999999999</c:v>
                </c:pt>
                <c:pt idx="47">
                  <c:v>34.149000000000001</c:v>
                </c:pt>
                <c:pt idx="48">
                  <c:v>54.625</c:v>
                </c:pt>
                <c:pt idx="49">
                  <c:v>62.817</c:v>
                </c:pt>
                <c:pt idx="50">
                  <c:v>63.59</c:v>
                </c:pt>
                <c:pt idx="51">
                  <c:v>63.41</c:v>
                </c:pt>
                <c:pt idx="52">
                  <c:v>63.417000000000002</c:v>
                </c:pt>
                <c:pt idx="53">
                  <c:v>63.401000000000003</c:v>
                </c:pt>
                <c:pt idx="54">
                  <c:v>63.337000000000003</c:v>
                </c:pt>
                <c:pt idx="55">
                  <c:v>63.320999999999998</c:v>
                </c:pt>
                <c:pt idx="56">
                  <c:v>63.359000000000002</c:v>
                </c:pt>
                <c:pt idx="57">
                  <c:v>63.314</c:v>
                </c:pt>
                <c:pt idx="58">
                  <c:v>63.283999999999999</c:v>
                </c:pt>
                <c:pt idx="59">
                  <c:v>63.191000000000003</c:v>
                </c:pt>
                <c:pt idx="60">
                  <c:v>63.198</c:v>
                </c:pt>
                <c:pt idx="61">
                  <c:v>63.308</c:v>
                </c:pt>
                <c:pt idx="62">
                  <c:v>63.456000000000003</c:v>
                </c:pt>
                <c:pt idx="63">
                  <c:v>63.497999999999998</c:v>
                </c:pt>
                <c:pt idx="64">
                  <c:v>63.445</c:v>
                </c:pt>
                <c:pt idx="65">
                  <c:v>63.368000000000002</c:v>
                </c:pt>
                <c:pt idx="66">
                  <c:v>63.332000000000001</c:v>
                </c:pt>
                <c:pt idx="67">
                  <c:v>63.345999999999997</c:v>
                </c:pt>
                <c:pt idx="68">
                  <c:v>63.216000000000001</c:v>
                </c:pt>
                <c:pt idx="69">
                  <c:v>63.301000000000002</c:v>
                </c:pt>
                <c:pt idx="70">
                  <c:v>63.259</c:v>
                </c:pt>
                <c:pt idx="71">
                  <c:v>63.218000000000004</c:v>
                </c:pt>
                <c:pt idx="72">
                  <c:v>63.359000000000002</c:v>
                </c:pt>
                <c:pt idx="73">
                  <c:v>63.218000000000004</c:v>
                </c:pt>
                <c:pt idx="74">
                  <c:v>63.094000000000001</c:v>
                </c:pt>
                <c:pt idx="75">
                  <c:v>62.95</c:v>
                </c:pt>
                <c:pt idx="76">
                  <c:v>62.866999999999997</c:v>
                </c:pt>
                <c:pt idx="77">
                  <c:v>62.947000000000003</c:v>
                </c:pt>
                <c:pt idx="78">
                  <c:v>62.84</c:v>
                </c:pt>
                <c:pt idx="79">
                  <c:v>63.124000000000002</c:v>
                </c:pt>
                <c:pt idx="80">
                  <c:v>76.798000000000002</c:v>
                </c:pt>
                <c:pt idx="81">
                  <c:v>106.506</c:v>
                </c:pt>
                <c:pt idx="82">
                  <c:v>117.583</c:v>
                </c:pt>
                <c:pt idx="83">
                  <c:v>118.432</c:v>
                </c:pt>
                <c:pt idx="84">
                  <c:v>118.155</c:v>
                </c:pt>
                <c:pt idx="85">
                  <c:v>118.012</c:v>
                </c:pt>
                <c:pt idx="86">
                  <c:v>117.586</c:v>
                </c:pt>
                <c:pt idx="87">
                  <c:v>117.175</c:v>
                </c:pt>
                <c:pt idx="88">
                  <c:v>117.08499999999999</c:v>
                </c:pt>
                <c:pt idx="89">
                  <c:v>116.919</c:v>
                </c:pt>
                <c:pt idx="90">
                  <c:v>116.878</c:v>
                </c:pt>
                <c:pt idx="91">
                  <c:v>117.01900000000001</c:v>
                </c:pt>
                <c:pt idx="92">
                  <c:v>116.634</c:v>
                </c:pt>
                <c:pt idx="93">
                  <c:v>116.705</c:v>
                </c:pt>
                <c:pt idx="94">
                  <c:v>116.511</c:v>
                </c:pt>
                <c:pt idx="95">
                  <c:v>116.298</c:v>
                </c:pt>
                <c:pt idx="96">
                  <c:v>116.23099999999999</c:v>
                </c:pt>
                <c:pt idx="97">
                  <c:v>116.005</c:v>
                </c:pt>
                <c:pt idx="98">
                  <c:v>115.881</c:v>
                </c:pt>
                <c:pt idx="99">
                  <c:v>115.54600000000001</c:v>
                </c:pt>
                <c:pt idx="100">
                  <c:v>115.334</c:v>
                </c:pt>
                <c:pt idx="101">
                  <c:v>115.16200000000001</c:v>
                </c:pt>
                <c:pt idx="102">
                  <c:v>114.754</c:v>
                </c:pt>
                <c:pt idx="103">
                  <c:v>114.68300000000001</c:v>
                </c:pt>
                <c:pt idx="104">
                  <c:v>114.73099999999999</c:v>
                </c:pt>
                <c:pt idx="105">
                  <c:v>114.371</c:v>
                </c:pt>
                <c:pt idx="106">
                  <c:v>114.602</c:v>
                </c:pt>
                <c:pt idx="107">
                  <c:v>114.554</c:v>
                </c:pt>
                <c:pt idx="108">
                  <c:v>114.55500000000001</c:v>
                </c:pt>
                <c:pt idx="109">
                  <c:v>114.547</c:v>
                </c:pt>
                <c:pt idx="110">
                  <c:v>114.693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E176-3A4C-B3AE-BA48290A915E}"/>
            </c:ext>
          </c:extLst>
        </c:ser>
        <c:ser>
          <c:idx val="7"/>
          <c:order val="3"/>
          <c:tx>
            <c:v> 4.9" Propeller</c:v>
          </c:tx>
          <c:spPr>
            <a:ln w="25400">
              <a:solidFill>
                <a:schemeClr val="accent5">
                  <a:lumMod val="60000"/>
                  <a:lumOff val="40000"/>
                </a:schemeClr>
              </a:solidFill>
            </a:ln>
          </c:spPr>
          <c:marker>
            <c:symbol val="none"/>
          </c:marker>
          <c:xVal>
            <c:numRef>
              <c:f>'Datura Comparison'!$X$4:$X$114</c:f>
              <c:numCache>
                <c:formatCode>General</c:formatCode>
                <c:ptCount val="111"/>
                <c:pt idx="0">
                  <c:v>-1</c:v>
                </c:pt>
                <c:pt idx="1">
                  <c:v>-0.89253700000000002</c:v>
                </c:pt>
                <c:pt idx="2">
                  <c:v>-0.804423</c:v>
                </c:pt>
                <c:pt idx="3">
                  <c:v>-0.71492099999999992</c:v>
                </c:pt>
                <c:pt idx="4">
                  <c:v>-0.62748399999999993</c:v>
                </c:pt>
                <c:pt idx="5">
                  <c:v>-0.53481599999999996</c:v>
                </c:pt>
                <c:pt idx="6">
                  <c:v>-0.44357000000000002</c:v>
                </c:pt>
                <c:pt idx="7">
                  <c:v>-0.35426999999999997</c:v>
                </c:pt>
                <c:pt idx="8">
                  <c:v>-0.26327800000000001</c:v>
                </c:pt>
                <c:pt idx="9">
                  <c:v>-0.17397300000000004</c:v>
                </c:pt>
                <c:pt idx="10">
                  <c:v>-8.2322000000000006E-2</c:v>
                </c:pt>
                <c:pt idx="11">
                  <c:v>1.0677000000000048E-2</c:v>
                </c:pt>
                <c:pt idx="12">
                  <c:v>9.9823999999999913E-2</c:v>
                </c:pt>
                <c:pt idx="13">
                  <c:v>0.19791500000000006</c:v>
                </c:pt>
                <c:pt idx="14">
                  <c:v>0.2857860000000001</c:v>
                </c:pt>
                <c:pt idx="15">
                  <c:v>0.3772359999999999</c:v>
                </c:pt>
                <c:pt idx="16">
                  <c:v>0.48941799999999991</c:v>
                </c:pt>
                <c:pt idx="17">
                  <c:v>0.57959800000000006</c:v>
                </c:pt>
                <c:pt idx="18">
                  <c:v>0.64713500000000002</c:v>
                </c:pt>
                <c:pt idx="19">
                  <c:v>0.74917699999999998</c:v>
                </c:pt>
                <c:pt idx="20">
                  <c:v>0.84198100000000009</c:v>
                </c:pt>
                <c:pt idx="21">
                  <c:v>0.94196300000000011</c:v>
                </c:pt>
                <c:pt idx="22">
                  <c:v>1.0402</c:v>
                </c:pt>
                <c:pt idx="23">
                  <c:v>1.127373</c:v>
                </c:pt>
                <c:pt idx="24">
                  <c:v>1.2166359999999998</c:v>
                </c:pt>
                <c:pt idx="25">
                  <c:v>1.3067440000000001</c:v>
                </c:pt>
                <c:pt idx="26">
                  <c:v>1.3948230000000001</c:v>
                </c:pt>
                <c:pt idx="27">
                  <c:v>1.486313</c:v>
                </c:pt>
                <c:pt idx="28">
                  <c:v>1.575215</c:v>
                </c:pt>
                <c:pt idx="29">
                  <c:v>1.6667450000000001</c:v>
                </c:pt>
                <c:pt idx="30">
                  <c:v>1.7575479999999999</c:v>
                </c:pt>
                <c:pt idx="31">
                  <c:v>1.8490479999999998</c:v>
                </c:pt>
                <c:pt idx="32">
                  <c:v>1.9354960000000001</c:v>
                </c:pt>
                <c:pt idx="33">
                  <c:v>2.029827</c:v>
                </c:pt>
                <c:pt idx="34">
                  <c:v>2.1190600000000002</c:v>
                </c:pt>
                <c:pt idx="35">
                  <c:v>2.2361900000000001</c:v>
                </c:pt>
                <c:pt idx="36">
                  <c:v>2.3303530000000001</c:v>
                </c:pt>
                <c:pt idx="37">
                  <c:v>2.395308</c:v>
                </c:pt>
                <c:pt idx="38">
                  <c:v>2.4922309999999999</c:v>
                </c:pt>
                <c:pt idx="39">
                  <c:v>2.5819329999999998</c:v>
                </c:pt>
                <c:pt idx="40">
                  <c:v>2.674388</c:v>
                </c:pt>
                <c:pt idx="41">
                  <c:v>2.7645819999999999</c:v>
                </c:pt>
                <c:pt idx="42">
                  <c:v>2.8835459999999999</c:v>
                </c:pt>
                <c:pt idx="43">
                  <c:v>2.9736560000000001</c:v>
                </c:pt>
                <c:pt idx="44">
                  <c:v>3.0662430000000001</c:v>
                </c:pt>
                <c:pt idx="45">
                  <c:v>3.1579160000000002</c:v>
                </c:pt>
                <c:pt idx="46">
                  <c:v>3.2244060000000001</c:v>
                </c:pt>
                <c:pt idx="47">
                  <c:v>3.3164879999999997</c:v>
                </c:pt>
                <c:pt idx="48">
                  <c:v>3.41648</c:v>
                </c:pt>
                <c:pt idx="49">
                  <c:v>3.5242370000000003</c:v>
                </c:pt>
                <c:pt idx="50">
                  <c:v>3.6021390000000002</c:v>
                </c:pt>
                <c:pt idx="51">
                  <c:v>3.7069190000000001</c:v>
                </c:pt>
                <c:pt idx="52">
                  <c:v>3.7839700000000001</c:v>
                </c:pt>
                <c:pt idx="53">
                  <c:v>3.8919689999999996</c:v>
                </c:pt>
                <c:pt idx="54">
                  <c:v>3.9687049999999999</c:v>
                </c:pt>
                <c:pt idx="55">
                  <c:v>4.0743010000000002</c:v>
                </c:pt>
                <c:pt idx="56">
                  <c:v>4.1620980000000003</c:v>
                </c:pt>
                <c:pt idx="57">
                  <c:v>4.2508889999999999</c:v>
                </c:pt>
                <c:pt idx="58">
                  <c:v>4.3372510000000002</c:v>
                </c:pt>
                <c:pt idx="59">
                  <c:v>4.4267789999999998</c:v>
                </c:pt>
                <c:pt idx="60">
                  <c:v>4.5136479999999999</c:v>
                </c:pt>
                <c:pt idx="61">
                  <c:v>4.6315350000000004</c:v>
                </c:pt>
                <c:pt idx="62">
                  <c:v>4.7208040000000002</c:v>
                </c:pt>
                <c:pt idx="63">
                  <c:v>4.8098960000000002</c:v>
                </c:pt>
                <c:pt idx="64">
                  <c:v>4.9003310000000004</c:v>
                </c:pt>
                <c:pt idx="65">
                  <c:v>4.9890119999999998</c:v>
                </c:pt>
                <c:pt idx="66">
                  <c:v>5.0786319999999998</c:v>
                </c:pt>
                <c:pt idx="67">
                  <c:v>5.1672560000000001</c:v>
                </c:pt>
                <c:pt idx="68">
                  <c:v>5.257549</c:v>
                </c:pt>
                <c:pt idx="69">
                  <c:v>5.3467130000000003</c:v>
                </c:pt>
                <c:pt idx="70">
                  <c:v>5.4378229999999999</c:v>
                </c:pt>
                <c:pt idx="71">
                  <c:v>5.5263989999999996</c:v>
                </c:pt>
                <c:pt idx="72">
                  <c:v>5.6179779999999999</c:v>
                </c:pt>
                <c:pt idx="73">
                  <c:v>5.7377880000000001</c:v>
                </c:pt>
                <c:pt idx="74">
                  <c:v>5.828964</c:v>
                </c:pt>
                <c:pt idx="75">
                  <c:v>5.9193709999999999</c:v>
                </c:pt>
                <c:pt idx="76">
                  <c:v>6.0136060000000002</c:v>
                </c:pt>
                <c:pt idx="77">
                  <c:v>6.1016940000000002</c:v>
                </c:pt>
                <c:pt idx="78">
                  <c:v>6.1926459999999999</c:v>
                </c:pt>
                <c:pt idx="79">
                  <c:v>6.2901439999999997</c:v>
                </c:pt>
                <c:pt idx="80">
                  <c:v>6.3783209999999997</c:v>
                </c:pt>
                <c:pt idx="81">
                  <c:v>6.4659219999999999</c:v>
                </c:pt>
                <c:pt idx="82">
                  <c:v>6.5417529999999999</c:v>
                </c:pt>
                <c:pt idx="83">
                  <c:v>6.6475160000000004</c:v>
                </c:pt>
                <c:pt idx="84">
                  <c:v>6.751239</c:v>
                </c:pt>
                <c:pt idx="85">
                  <c:v>6.8300869999999998</c:v>
                </c:pt>
                <c:pt idx="86">
                  <c:v>6.9245099999999997</c:v>
                </c:pt>
                <c:pt idx="87">
                  <c:v>7.0005939999999995</c:v>
                </c:pt>
                <c:pt idx="88">
                  <c:v>7.1183189999999996</c:v>
                </c:pt>
                <c:pt idx="89">
                  <c:v>7.2082630000000005</c:v>
                </c:pt>
                <c:pt idx="90">
                  <c:v>7.2991379999999992</c:v>
                </c:pt>
                <c:pt idx="91">
                  <c:v>7.391629</c:v>
                </c:pt>
                <c:pt idx="92">
                  <c:v>7.4810130000000008</c:v>
                </c:pt>
                <c:pt idx="93">
                  <c:v>7.5688209999999998</c:v>
                </c:pt>
                <c:pt idx="94">
                  <c:v>7.6575690000000005</c:v>
                </c:pt>
                <c:pt idx="95">
                  <c:v>7.7468889999999995</c:v>
                </c:pt>
                <c:pt idx="96">
                  <c:v>7.8391359999999999</c:v>
                </c:pt>
                <c:pt idx="97">
                  <c:v>7.9316610000000001</c:v>
                </c:pt>
                <c:pt idx="98">
                  <c:v>8.0222630000000006</c:v>
                </c:pt>
                <c:pt idx="99">
                  <c:v>8.1201030000000003</c:v>
                </c:pt>
                <c:pt idx="100">
                  <c:v>8.2267580000000002</c:v>
                </c:pt>
                <c:pt idx="101">
                  <c:v>8.3048029999999997</c:v>
                </c:pt>
                <c:pt idx="102">
                  <c:v>8.3956149999999994</c:v>
                </c:pt>
                <c:pt idx="103">
                  <c:v>8.4873630000000002</c:v>
                </c:pt>
                <c:pt idx="104">
                  <c:v>8.5788430000000009</c:v>
                </c:pt>
                <c:pt idx="105">
                  <c:v>8.6679980000000008</c:v>
                </c:pt>
                <c:pt idx="106">
                  <c:v>8.7545260000000003</c:v>
                </c:pt>
                <c:pt idx="107">
                  <c:v>8.8437579999999993</c:v>
                </c:pt>
                <c:pt idx="108">
                  <c:v>8.9616989999999994</c:v>
                </c:pt>
                <c:pt idx="109">
                  <c:v>9.0480509999999992</c:v>
                </c:pt>
                <c:pt idx="110">
                  <c:v>9.1368779999999994</c:v>
                </c:pt>
              </c:numCache>
            </c:numRef>
          </c:xVal>
          <c:yVal>
            <c:numRef>
              <c:f>'Datura Comparison'!$U$4:$U$114</c:f>
              <c:numCache>
                <c:formatCode>General</c:formatCode>
                <c:ptCount val="111"/>
                <c:pt idx="0">
                  <c:v>-7.0000000000000001E-3</c:v>
                </c:pt>
                <c:pt idx="1">
                  <c:v>7.9000000000000001E-2</c:v>
                </c:pt>
                <c:pt idx="2">
                  <c:v>8.8999999999999996E-2</c:v>
                </c:pt>
                <c:pt idx="3">
                  <c:v>2.4E-2</c:v>
                </c:pt>
                <c:pt idx="4">
                  <c:v>1.2E-2</c:v>
                </c:pt>
                <c:pt idx="5">
                  <c:v>3.7999999999999999E-2</c:v>
                </c:pt>
                <c:pt idx="6">
                  <c:v>3.6999999999999998E-2</c:v>
                </c:pt>
                <c:pt idx="7">
                  <c:v>5.1999999999999998E-2</c:v>
                </c:pt>
                <c:pt idx="8">
                  <c:v>6.6000000000000003E-2</c:v>
                </c:pt>
                <c:pt idx="9">
                  <c:v>8.7999999999999995E-2</c:v>
                </c:pt>
                <c:pt idx="10">
                  <c:v>-1.2E-2</c:v>
                </c:pt>
                <c:pt idx="11">
                  <c:v>-1E-3</c:v>
                </c:pt>
                <c:pt idx="12">
                  <c:v>3.5999999999999997E-2</c:v>
                </c:pt>
                <c:pt idx="13">
                  <c:v>4.1000000000000002E-2</c:v>
                </c:pt>
                <c:pt idx="14">
                  <c:v>5.2999999999999999E-2</c:v>
                </c:pt>
                <c:pt idx="15">
                  <c:v>3.6999999999999998E-2</c:v>
                </c:pt>
                <c:pt idx="16">
                  <c:v>0.61899999999999999</c:v>
                </c:pt>
                <c:pt idx="17">
                  <c:v>4.0369999999999999</c:v>
                </c:pt>
                <c:pt idx="18">
                  <c:v>15.718999999999999</c:v>
                </c:pt>
                <c:pt idx="19">
                  <c:v>30.169</c:v>
                </c:pt>
                <c:pt idx="20">
                  <c:v>38.411999999999999</c:v>
                </c:pt>
                <c:pt idx="21">
                  <c:v>41.753</c:v>
                </c:pt>
                <c:pt idx="22">
                  <c:v>42.878</c:v>
                </c:pt>
                <c:pt idx="23">
                  <c:v>43.286999999999999</c:v>
                </c:pt>
                <c:pt idx="24">
                  <c:v>43.454000000000001</c:v>
                </c:pt>
                <c:pt idx="25">
                  <c:v>43.618000000000002</c:v>
                </c:pt>
                <c:pt idx="26">
                  <c:v>43.679000000000002</c:v>
                </c:pt>
                <c:pt idx="27">
                  <c:v>43.655000000000001</c:v>
                </c:pt>
                <c:pt idx="28">
                  <c:v>43.777000000000001</c:v>
                </c:pt>
                <c:pt idx="29">
                  <c:v>43.887999999999998</c:v>
                </c:pt>
                <c:pt idx="30">
                  <c:v>43.905000000000001</c:v>
                </c:pt>
                <c:pt idx="31">
                  <c:v>43.817</c:v>
                </c:pt>
                <c:pt idx="32">
                  <c:v>43.875</c:v>
                </c:pt>
                <c:pt idx="33">
                  <c:v>43.822000000000003</c:v>
                </c:pt>
                <c:pt idx="34">
                  <c:v>43.853999999999999</c:v>
                </c:pt>
                <c:pt idx="35">
                  <c:v>43.798000000000002</c:v>
                </c:pt>
                <c:pt idx="36">
                  <c:v>43.703000000000003</c:v>
                </c:pt>
                <c:pt idx="37">
                  <c:v>43.695</c:v>
                </c:pt>
                <c:pt idx="38">
                  <c:v>43.802999999999997</c:v>
                </c:pt>
                <c:pt idx="39">
                  <c:v>43.823999999999998</c:v>
                </c:pt>
                <c:pt idx="40">
                  <c:v>43.811</c:v>
                </c:pt>
                <c:pt idx="41">
                  <c:v>43.787999999999997</c:v>
                </c:pt>
                <c:pt idx="42">
                  <c:v>43.747999999999998</c:v>
                </c:pt>
                <c:pt idx="43">
                  <c:v>43.703000000000003</c:v>
                </c:pt>
                <c:pt idx="44">
                  <c:v>43.820999999999998</c:v>
                </c:pt>
                <c:pt idx="45">
                  <c:v>43.838000000000001</c:v>
                </c:pt>
                <c:pt idx="46">
                  <c:v>43.899000000000001</c:v>
                </c:pt>
                <c:pt idx="47">
                  <c:v>49.38</c:v>
                </c:pt>
                <c:pt idx="48">
                  <c:v>74.825000000000003</c:v>
                </c:pt>
                <c:pt idx="49">
                  <c:v>98.641999999999996</c:v>
                </c:pt>
                <c:pt idx="50">
                  <c:v>106.877</c:v>
                </c:pt>
                <c:pt idx="51">
                  <c:v>108.89700000000001</c:v>
                </c:pt>
                <c:pt idx="52">
                  <c:v>109.495</c:v>
                </c:pt>
                <c:pt idx="53">
                  <c:v>109.657</c:v>
                </c:pt>
                <c:pt idx="54">
                  <c:v>109.583</c:v>
                </c:pt>
                <c:pt idx="55">
                  <c:v>109.378</c:v>
                </c:pt>
                <c:pt idx="56">
                  <c:v>109.114</c:v>
                </c:pt>
                <c:pt idx="57">
                  <c:v>108.876</c:v>
                </c:pt>
                <c:pt idx="58">
                  <c:v>108.782</c:v>
                </c:pt>
                <c:pt idx="59">
                  <c:v>108.541</c:v>
                </c:pt>
                <c:pt idx="60">
                  <c:v>108.402</c:v>
                </c:pt>
                <c:pt idx="61">
                  <c:v>108.46299999999999</c:v>
                </c:pt>
                <c:pt idx="62">
                  <c:v>108.492</c:v>
                </c:pt>
                <c:pt idx="63">
                  <c:v>108.491</c:v>
                </c:pt>
                <c:pt idx="64">
                  <c:v>108.53400000000001</c:v>
                </c:pt>
                <c:pt idx="65">
                  <c:v>108.57299999999999</c:v>
                </c:pt>
                <c:pt idx="66">
                  <c:v>108.399</c:v>
                </c:pt>
                <c:pt idx="67">
                  <c:v>108.21899999999999</c:v>
                </c:pt>
                <c:pt idx="68">
                  <c:v>108.07</c:v>
                </c:pt>
                <c:pt idx="69">
                  <c:v>107.92</c:v>
                </c:pt>
                <c:pt idx="70">
                  <c:v>107.971</c:v>
                </c:pt>
                <c:pt idx="71">
                  <c:v>108.02200000000001</c:v>
                </c:pt>
                <c:pt idx="72">
                  <c:v>107.94799999999999</c:v>
                </c:pt>
                <c:pt idx="73">
                  <c:v>107.83799999999999</c:v>
                </c:pt>
                <c:pt idx="74">
                  <c:v>107.742</c:v>
                </c:pt>
                <c:pt idx="75">
                  <c:v>107.82</c:v>
                </c:pt>
                <c:pt idx="76">
                  <c:v>107.78700000000001</c:v>
                </c:pt>
                <c:pt idx="77">
                  <c:v>107.614</c:v>
                </c:pt>
                <c:pt idx="78">
                  <c:v>107.55800000000001</c:v>
                </c:pt>
                <c:pt idx="79">
                  <c:v>107.788</c:v>
                </c:pt>
                <c:pt idx="80">
                  <c:v>114.578</c:v>
                </c:pt>
                <c:pt idx="81">
                  <c:v>144.405</c:v>
                </c:pt>
                <c:pt idx="82">
                  <c:v>169.26900000000001</c:v>
                </c:pt>
                <c:pt idx="83">
                  <c:v>176.60300000000001</c:v>
                </c:pt>
                <c:pt idx="84">
                  <c:v>178.203</c:v>
                </c:pt>
                <c:pt idx="85">
                  <c:v>178.28399999999999</c:v>
                </c:pt>
                <c:pt idx="86">
                  <c:v>177.85499999999999</c:v>
                </c:pt>
                <c:pt idx="87">
                  <c:v>177.32300000000001</c:v>
                </c:pt>
                <c:pt idx="88">
                  <c:v>176.738</c:v>
                </c:pt>
                <c:pt idx="89">
                  <c:v>176.20099999999999</c:v>
                </c:pt>
                <c:pt idx="90">
                  <c:v>175.66399999999999</c:v>
                </c:pt>
                <c:pt idx="91">
                  <c:v>175.15700000000001</c:v>
                </c:pt>
                <c:pt idx="92">
                  <c:v>174.68100000000001</c:v>
                </c:pt>
                <c:pt idx="93">
                  <c:v>174.07</c:v>
                </c:pt>
                <c:pt idx="94">
                  <c:v>173.172</c:v>
                </c:pt>
                <c:pt idx="95">
                  <c:v>172.19800000000001</c:v>
                </c:pt>
                <c:pt idx="96">
                  <c:v>171.321</c:v>
                </c:pt>
                <c:pt idx="97">
                  <c:v>170.56299999999999</c:v>
                </c:pt>
                <c:pt idx="98">
                  <c:v>169.95099999999999</c:v>
                </c:pt>
                <c:pt idx="99">
                  <c:v>169.19800000000001</c:v>
                </c:pt>
                <c:pt idx="100">
                  <c:v>168.745</c:v>
                </c:pt>
                <c:pt idx="101">
                  <c:v>168.20599999999999</c:v>
                </c:pt>
                <c:pt idx="102">
                  <c:v>167.81</c:v>
                </c:pt>
                <c:pt idx="103">
                  <c:v>167.55600000000001</c:v>
                </c:pt>
                <c:pt idx="104">
                  <c:v>167.33699999999999</c:v>
                </c:pt>
                <c:pt idx="105">
                  <c:v>167.221</c:v>
                </c:pt>
                <c:pt idx="106">
                  <c:v>166.90600000000001</c:v>
                </c:pt>
                <c:pt idx="107">
                  <c:v>167.30799999999999</c:v>
                </c:pt>
                <c:pt idx="108">
                  <c:v>167.61699999999999</c:v>
                </c:pt>
                <c:pt idx="109">
                  <c:v>167.59800000000001</c:v>
                </c:pt>
                <c:pt idx="110">
                  <c:v>167.547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E176-3A4C-B3AE-BA48290A91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2997247"/>
        <c:axId val="726930687"/>
      </c:scatterChart>
      <c:valAx>
        <c:axId val="762997247"/>
        <c:scaling>
          <c:orientation val="minMax"/>
          <c:max val="9"/>
          <c:min val="0"/>
        </c:scaling>
        <c:delete val="0"/>
        <c:axPos val="b"/>
        <c:majorGridlines>
          <c:spPr>
            <a:ln w="9525" cap="flat" cmpd="sng" algn="ctr">
              <a:solidFill>
                <a:schemeClr val="bg2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300" b="0" i="0" u="none" strike="noStrike" kern="1200" baseline="0">
                    <a:solidFill>
                      <a:schemeClr val="tx1"/>
                    </a:solidFill>
                    <a:latin typeface="NewComputerModern10" pitchFamily="2" charset="77"/>
                    <a:ea typeface="+mn-ea"/>
                    <a:cs typeface="+mn-cs"/>
                  </a:defRPr>
                </a:pPr>
                <a:r>
                  <a:rPr lang="en-US" sz="1300" b="0" i="0">
                    <a:solidFill>
                      <a:schemeClr val="tx1"/>
                    </a:solidFill>
                    <a:latin typeface="NewComputerModern10" pitchFamily="2" charset="77"/>
                  </a:rPr>
                  <a:t>Time [s]</a:t>
                </a:r>
              </a:p>
            </c:rich>
          </c:tx>
          <c:layout>
            <c:manualLayout>
              <c:xMode val="edge"/>
              <c:yMode val="edge"/>
              <c:x val="0.43627642446441267"/>
              <c:y val="0.84527796399372179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NewComputerModern10" pitchFamily="2" charset="77"/>
                <a:ea typeface="+mn-ea"/>
                <a:cs typeface="+mn-cs"/>
              </a:defRPr>
            </a:pPr>
            <a:endParaRPr lang="en-US"/>
          </a:p>
        </c:txPr>
        <c:crossAx val="726930687"/>
        <c:crosses val="autoZero"/>
        <c:crossBetween val="midCat"/>
        <c:majorUnit val="1"/>
      </c:valAx>
      <c:valAx>
        <c:axId val="726930687"/>
        <c:scaling>
          <c:orientation val="minMax"/>
          <c:max val="180"/>
          <c:min val="0"/>
        </c:scaling>
        <c:delete val="0"/>
        <c:axPos val="l"/>
        <c:majorGridlines>
          <c:spPr>
            <a:ln w="9525" cap="flat" cmpd="sng" algn="ctr">
              <a:solidFill>
                <a:schemeClr val="bg2">
                  <a:lumMod val="9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300" b="0" i="0" u="none" strike="noStrike" kern="1200" baseline="0">
                    <a:solidFill>
                      <a:schemeClr val="tx1"/>
                    </a:solidFill>
                    <a:latin typeface="NewComputerModern10" pitchFamily="2" charset="77"/>
                    <a:ea typeface="+mn-ea"/>
                    <a:cs typeface="+mn-cs"/>
                  </a:defRPr>
                </a:pPr>
                <a:r>
                  <a:rPr lang="en-US" sz="1300" b="0" i="0">
                    <a:solidFill>
                      <a:schemeClr val="tx1"/>
                    </a:solidFill>
                    <a:latin typeface="NewComputerModern10" pitchFamily="2" charset="77"/>
                  </a:rPr>
                  <a:t>Thrust Force [g]</a:t>
                </a:r>
              </a:p>
            </c:rich>
          </c:tx>
          <c:layout>
            <c:manualLayout>
              <c:xMode val="edge"/>
              <c:yMode val="edge"/>
              <c:x val="8.5678396054375355E-2"/>
              <c:y val="0.26550410309283451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NewComputerModern10" pitchFamily="2" charset="77"/>
                <a:ea typeface="+mn-ea"/>
                <a:cs typeface="+mn-cs"/>
              </a:defRPr>
            </a:pPr>
            <a:endParaRPr lang="en-US"/>
          </a:p>
        </c:txPr>
        <c:crossAx val="762997247"/>
        <c:crosses val="autoZero"/>
        <c:crossBetween val="midCat"/>
        <c:majorUnit val="20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6977080514631609"/>
          <c:y val="4.0728763072419925E-2"/>
          <c:w val="0.60798240524355562"/>
          <c:h val="0.73915064663638197"/>
        </c:manualLayout>
      </c:layout>
      <c:scatterChart>
        <c:scatterStyle val="lineMarker"/>
        <c:varyColors val="0"/>
        <c:ser>
          <c:idx val="0"/>
          <c:order val="0"/>
          <c:tx>
            <c:v> 2.5" Propeller</c:v>
          </c:tx>
          <c:spPr>
            <a:ln w="25400">
              <a:solidFill>
                <a:schemeClr val="accent2">
                  <a:lumMod val="60000"/>
                  <a:lumOff val="40000"/>
                </a:schemeClr>
              </a:solidFill>
            </a:ln>
          </c:spPr>
          <c:marker>
            <c:symbol val="none"/>
          </c:marker>
          <c:xVal>
            <c:numRef>
              <c:f>'Datura Comparison'!$F$4:$F$114</c:f>
              <c:numCache>
                <c:formatCode>General</c:formatCode>
                <c:ptCount val="111"/>
                <c:pt idx="0">
                  <c:v>-1</c:v>
                </c:pt>
                <c:pt idx="1">
                  <c:v>-0.90443899999999999</c:v>
                </c:pt>
                <c:pt idx="2">
                  <c:v>-0.84075500000000003</c:v>
                </c:pt>
                <c:pt idx="3">
                  <c:v>-0.731904</c:v>
                </c:pt>
                <c:pt idx="4">
                  <c:v>-0.65226800000000007</c:v>
                </c:pt>
                <c:pt idx="5">
                  <c:v>-0.54210999999999998</c:v>
                </c:pt>
                <c:pt idx="6">
                  <c:v>-0.46154499999999998</c:v>
                </c:pt>
                <c:pt idx="7">
                  <c:v>-0.35063299999999997</c:v>
                </c:pt>
                <c:pt idx="8">
                  <c:v>-0.26983599999999996</c:v>
                </c:pt>
                <c:pt idx="9">
                  <c:v>-0.16041399999999995</c:v>
                </c:pt>
                <c:pt idx="10">
                  <c:v>-8.0331999999999959E-2</c:v>
                </c:pt>
                <c:pt idx="11">
                  <c:v>2.9115000000000002E-2</c:v>
                </c:pt>
                <c:pt idx="12">
                  <c:v>0.10937100000000011</c:v>
                </c:pt>
                <c:pt idx="13">
                  <c:v>0.18117800000000006</c:v>
                </c:pt>
                <c:pt idx="14">
                  <c:v>0.29073700000000002</c:v>
                </c:pt>
                <c:pt idx="15">
                  <c:v>0.37094099999999997</c:v>
                </c:pt>
                <c:pt idx="16">
                  <c:v>0.4502790000000001</c:v>
                </c:pt>
                <c:pt idx="17">
                  <c:v>0.5611870000000001</c:v>
                </c:pt>
                <c:pt idx="18">
                  <c:v>0.65108900000000003</c:v>
                </c:pt>
                <c:pt idx="19">
                  <c:v>0.73842099999999999</c:v>
                </c:pt>
                <c:pt idx="20">
                  <c:v>0.85666200000000003</c:v>
                </c:pt>
                <c:pt idx="21">
                  <c:v>0.93431099999999989</c:v>
                </c:pt>
                <c:pt idx="22">
                  <c:v>1.0418790000000002</c:v>
                </c:pt>
                <c:pt idx="23">
                  <c:v>1.1204339999999999</c:v>
                </c:pt>
                <c:pt idx="24">
                  <c:v>1.1820200000000001</c:v>
                </c:pt>
                <c:pt idx="25">
                  <c:v>1.2882180000000001</c:v>
                </c:pt>
                <c:pt idx="26">
                  <c:v>1.3889149999999999</c:v>
                </c:pt>
                <c:pt idx="27">
                  <c:v>1.4946250000000001</c:v>
                </c:pt>
                <c:pt idx="28">
                  <c:v>1.5720519999999998</c:v>
                </c:pt>
                <c:pt idx="29">
                  <c:v>1.6778379999999999</c:v>
                </c:pt>
                <c:pt idx="30">
                  <c:v>1.75597</c:v>
                </c:pt>
                <c:pt idx="31">
                  <c:v>1.8639329999999998</c:v>
                </c:pt>
                <c:pt idx="32">
                  <c:v>1.9426160000000001</c:v>
                </c:pt>
                <c:pt idx="33">
                  <c:v>2.0506039999999999</c:v>
                </c:pt>
                <c:pt idx="34">
                  <c:v>2.129448</c:v>
                </c:pt>
                <c:pt idx="35">
                  <c:v>2.2363</c:v>
                </c:pt>
                <c:pt idx="36">
                  <c:v>2.3143379999999998</c:v>
                </c:pt>
                <c:pt idx="37">
                  <c:v>2.4040349999999999</c:v>
                </c:pt>
                <c:pt idx="38">
                  <c:v>2.4826549999999998</c:v>
                </c:pt>
                <c:pt idx="39">
                  <c:v>2.5913750000000002</c:v>
                </c:pt>
                <c:pt idx="40">
                  <c:v>2.6702870000000001</c:v>
                </c:pt>
                <c:pt idx="41">
                  <c:v>2.7790020000000002</c:v>
                </c:pt>
                <c:pt idx="42">
                  <c:v>2.8576510000000002</c:v>
                </c:pt>
                <c:pt idx="43">
                  <c:v>2.9641120000000001</c:v>
                </c:pt>
                <c:pt idx="44">
                  <c:v>3.042052</c:v>
                </c:pt>
                <c:pt idx="45">
                  <c:v>3.1500620000000001</c:v>
                </c:pt>
                <c:pt idx="46">
                  <c:v>3.2364509999999997</c:v>
                </c:pt>
                <c:pt idx="47">
                  <c:v>3.3435560000000004</c:v>
                </c:pt>
                <c:pt idx="48">
                  <c:v>3.4327949999999996</c:v>
                </c:pt>
                <c:pt idx="49">
                  <c:v>3.4985879999999998</c:v>
                </c:pt>
                <c:pt idx="50">
                  <c:v>3.6166989999999997</c:v>
                </c:pt>
                <c:pt idx="51">
                  <c:v>3.7054020000000003</c:v>
                </c:pt>
                <c:pt idx="52">
                  <c:v>3.7683400000000002</c:v>
                </c:pt>
                <c:pt idx="53">
                  <c:v>3.8750859999999996</c:v>
                </c:pt>
                <c:pt idx="54">
                  <c:v>3.951708</c:v>
                </c:pt>
                <c:pt idx="55">
                  <c:v>4.05722</c:v>
                </c:pt>
                <c:pt idx="56">
                  <c:v>4.1339930000000003</c:v>
                </c:pt>
                <c:pt idx="57">
                  <c:v>4.2417020000000001</c:v>
                </c:pt>
                <c:pt idx="58">
                  <c:v>4.319178</c:v>
                </c:pt>
                <c:pt idx="59">
                  <c:v>4.4245190000000001</c:v>
                </c:pt>
                <c:pt idx="60">
                  <c:v>4.5010640000000004</c:v>
                </c:pt>
                <c:pt idx="61">
                  <c:v>4.6084329999999998</c:v>
                </c:pt>
                <c:pt idx="62">
                  <c:v>4.6851289999999999</c:v>
                </c:pt>
                <c:pt idx="63">
                  <c:v>4.7911260000000002</c:v>
                </c:pt>
                <c:pt idx="64">
                  <c:v>4.8679990000000002</c:v>
                </c:pt>
                <c:pt idx="65">
                  <c:v>4.9731880000000004</c:v>
                </c:pt>
                <c:pt idx="66">
                  <c:v>5.0732499999999998</c:v>
                </c:pt>
                <c:pt idx="67">
                  <c:v>5.1789870000000002</c:v>
                </c:pt>
                <c:pt idx="68">
                  <c:v>5.2563370000000003</c:v>
                </c:pt>
                <c:pt idx="69">
                  <c:v>5.3616609999999998</c:v>
                </c:pt>
                <c:pt idx="70">
                  <c:v>5.438466</c:v>
                </c:pt>
                <c:pt idx="71">
                  <c:v>5.544003</c:v>
                </c:pt>
                <c:pt idx="72">
                  <c:v>5.6209100000000003</c:v>
                </c:pt>
                <c:pt idx="73">
                  <c:v>5.7260429999999998</c:v>
                </c:pt>
                <c:pt idx="74">
                  <c:v>5.8025599999999997</c:v>
                </c:pt>
                <c:pt idx="75">
                  <c:v>5.9080300000000001</c:v>
                </c:pt>
                <c:pt idx="76">
                  <c:v>5.984375</c:v>
                </c:pt>
                <c:pt idx="77">
                  <c:v>6.0907830000000001</c:v>
                </c:pt>
                <c:pt idx="78">
                  <c:v>6.1689910000000001</c:v>
                </c:pt>
                <c:pt idx="79">
                  <c:v>6.2861750000000001</c:v>
                </c:pt>
                <c:pt idx="80">
                  <c:v>6.3643729999999996</c:v>
                </c:pt>
                <c:pt idx="81">
                  <c:v>6.4410600000000002</c:v>
                </c:pt>
                <c:pt idx="82">
                  <c:v>6.5488049999999998</c:v>
                </c:pt>
                <c:pt idx="83">
                  <c:v>6.6386139999999996</c:v>
                </c:pt>
                <c:pt idx="84">
                  <c:v>6.7460760000000004</c:v>
                </c:pt>
                <c:pt idx="85">
                  <c:v>6.8238519999999996</c:v>
                </c:pt>
                <c:pt idx="86">
                  <c:v>6.932436</c:v>
                </c:pt>
                <c:pt idx="87">
                  <c:v>7.0101990000000001</c:v>
                </c:pt>
                <c:pt idx="88">
                  <c:v>7.1161239999999992</c:v>
                </c:pt>
                <c:pt idx="89">
                  <c:v>7.1929390000000009</c:v>
                </c:pt>
                <c:pt idx="90">
                  <c:v>7.2992519999999992</c:v>
                </c:pt>
                <c:pt idx="91">
                  <c:v>7.3766130000000008</c:v>
                </c:pt>
                <c:pt idx="92">
                  <c:v>7.4825289999999995</c:v>
                </c:pt>
                <c:pt idx="93">
                  <c:v>7.5598310000000009</c:v>
                </c:pt>
                <c:pt idx="94">
                  <c:v>7.6658159999999995</c:v>
                </c:pt>
                <c:pt idx="95">
                  <c:v>7.7434639999999995</c:v>
                </c:pt>
                <c:pt idx="96">
                  <c:v>7.8518720000000002</c:v>
                </c:pt>
                <c:pt idx="97">
                  <c:v>7.9300800000000002</c:v>
                </c:pt>
                <c:pt idx="98">
                  <c:v>8.0362720000000003</c:v>
                </c:pt>
                <c:pt idx="99">
                  <c:v>8.1133690000000005</c:v>
                </c:pt>
                <c:pt idx="100">
                  <c:v>8.2009620000000005</c:v>
                </c:pt>
                <c:pt idx="101">
                  <c:v>8.2779419999999995</c:v>
                </c:pt>
                <c:pt idx="102">
                  <c:v>8.3836510000000004</c:v>
                </c:pt>
                <c:pt idx="103">
                  <c:v>8.4604520000000001</c:v>
                </c:pt>
                <c:pt idx="104">
                  <c:v>8.5670780000000004</c:v>
                </c:pt>
                <c:pt idx="105">
                  <c:v>8.6443250000000003</c:v>
                </c:pt>
                <c:pt idx="106">
                  <c:v>8.7507439999999992</c:v>
                </c:pt>
                <c:pt idx="107">
                  <c:v>8.8274019999999993</c:v>
                </c:pt>
                <c:pt idx="108">
                  <c:v>8.9330879999999997</c:v>
                </c:pt>
                <c:pt idx="109">
                  <c:v>9.0342579999999995</c:v>
                </c:pt>
                <c:pt idx="110">
                  <c:v>9.1403669999999995</c:v>
                </c:pt>
              </c:numCache>
            </c:numRef>
          </c:xVal>
          <c:yVal>
            <c:numRef>
              <c:f>'Datura Comparison'!$D$4:$D$114</c:f>
              <c:numCache>
                <c:formatCode>General</c:formatCode>
                <c:ptCount val="111"/>
                <c:pt idx="0">
                  <c:v>0.999</c:v>
                </c:pt>
                <c:pt idx="1">
                  <c:v>0.60029999999999994</c:v>
                </c:pt>
                <c:pt idx="2">
                  <c:v>0.73719999999999997</c:v>
                </c:pt>
                <c:pt idx="3">
                  <c:v>0.74029999999999996</c:v>
                </c:pt>
                <c:pt idx="4">
                  <c:v>0.38169999999999998</c:v>
                </c:pt>
                <c:pt idx="5">
                  <c:v>0.19750000000000001</c:v>
                </c:pt>
                <c:pt idx="6">
                  <c:v>-0.20349999999999999</c:v>
                </c:pt>
                <c:pt idx="7">
                  <c:v>-0.52849999999999997</c:v>
                </c:pt>
                <c:pt idx="8">
                  <c:v>-0.52849999999999997</c:v>
                </c:pt>
                <c:pt idx="9">
                  <c:v>-0.39169999999999999</c:v>
                </c:pt>
                <c:pt idx="10">
                  <c:v>-0.1009</c:v>
                </c:pt>
                <c:pt idx="11">
                  <c:v>-0.37459999999999999</c:v>
                </c:pt>
                <c:pt idx="12">
                  <c:v>-0.27189999999999998</c:v>
                </c:pt>
                <c:pt idx="13">
                  <c:v>0.12139999999999999</c:v>
                </c:pt>
                <c:pt idx="14">
                  <c:v>1.2200000000000001E-2</c:v>
                </c:pt>
                <c:pt idx="15">
                  <c:v>6.4999999999999997E-3</c:v>
                </c:pt>
                <c:pt idx="16">
                  <c:v>0.24260000000000001</c:v>
                </c:pt>
                <c:pt idx="17">
                  <c:v>1.6477999999999999</c:v>
                </c:pt>
                <c:pt idx="18">
                  <c:v>2.6610999999999998</c:v>
                </c:pt>
                <c:pt idx="19">
                  <c:v>2.8913000000000002</c:v>
                </c:pt>
                <c:pt idx="20">
                  <c:v>2.6234999999999999</c:v>
                </c:pt>
                <c:pt idx="21">
                  <c:v>2.8302</c:v>
                </c:pt>
                <c:pt idx="22">
                  <c:v>2.7115999999999998</c:v>
                </c:pt>
                <c:pt idx="23">
                  <c:v>2.7925</c:v>
                </c:pt>
                <c:pt idx="24">
                  <c:v>3.0274999999999999</c:v>
                </c:pt>
                <c:pt idx="25">
                  <c:v>2.6749000000000001</c:v>
                </c:pt>
                <c:pt idx="26">
                  <c:v>2.653</c:v>
                </c:pt>
                <c:pt idx="27">
                  <c:v>2.5158999999999998</c:v>
                </c:pt>
                <c:pt idx="28">
                  <c:v>2.5375000000000001</c:v>
                </c:pt>
                <c:pt idx="29">
                  <c:v>2.8454000000000002</c:v>
                </c:pt>
                <c:pt idx="30">
                  <c:v>2.6402999999999999</c:v>
                </c:pt>
                <c:pt idx="31">
                  <c:v>2.9379</c:v>
                </c:pt>
                <c:pt idx="32">
                  <c:v>2.5817000000000001</c:v>
                </c:pt>
                <c:pt idx="33">
                  <c:v>2.9209000000000001</c:v>
                </c:pt>
                <c:pt idx="34">
                  <c:v>2.9851999999999999</c:v>
                </c:pt>
                <c:pt idx="35">
                  <c:v>2.9036</c:v>
                </c:pt>
                <c:pt idx="36">
                  <c:v>2.6623000000000001</c:v>
                </c:pt>
                <c:pt idx="37">
                  <c:v>2.7730000000000001</c:v>
                </c:pt>
                <c:pt idx="38">
                  <c:v>2.5781000000000001</c:v>
                </c:pt>
                <c:pt idx="39">
                  <c:v>2.6911999999999998</c:v>
                </c:pt>
                <c:pt idx="40">
                  <c:v>3.1955</c:v>
                </c:pt>
                <c:pt idx="41">
                  <c:v>2.8157000000000001</c:v>
                </c:pt>
                <c:pt idx="42">
                  <c:v>3.0268999999999999</c:v>
                </c:pt>
                <c:pt idx="43">
                  <c:v>2.8582000000000001</c:v>
                </c:pt>
                <c:pt idx="44">
                  <c:v>2.9748000000000001</c:v>
                </c:pt>
                <c:pt idx="45">
                  <c:v>2.5438000000000001</c:v>
                </c:pt>
                <c:pt idx="46">
                  <c:v>2.016</c:v>
                </c:pt>
                <c:pt idx="47">
                  <c:v>0.90600000000000003</c:v>
                </c:pt>
                <c:pt idx="48">
                  <c:v>1.5615000000000001</c:v>
                </c:pt>
                <c:pt idx="49">
                  <c:v>2.5348999999999999</c:v>
                </c:pt>
                <c:pt idx="50">
                  <c:v>2.7704</c:v>
                </c:pt>
                <c:pt idx="51">
                  <c:v>2.9986999999999999</c:v>
                </c:pt>
                <c:pt idx="52">
                  <c:v>2.9018999999999999</c:v>
                </c:pt>
                <c:pt idx="53">
                  <c:v>2.9169</c:v>
                </c:pt>
                <c:pt idx="54">
                  <c:v>2.8508</c:v>
                </c:pt>
                <c:pt idx="55">
                  <c:v>2.9262999999999999</c:v>
                </c:pt>
                <c:pt idx="56">
                  <c:v>2.9388999999999998</c:v>
                </c:pt>
                <c:pt idx="57">
                  <c:v>2.9946000000000002</c:v>
                </c:pt>
                <c:pt idx="58">
                  <c:v>2.9721000000000002</c:v>
                </c:pt>
                <c:pt idx="59">
                  <c:v>2.802</c:v>
                </c:pt>
                <c:pt idx="60">
                  <c:v>2.9091999999999998</c:v>
                </c:pt>
                <c:pt idx="61">
                  <c:v>2.9131999999999998</c:v>
                </c:pt>
                <c:pt idx="62">
                  <c:v>2.8321999999999998</c:v>
                </c:pt>
                <c:pt idx="63">
                  <c:v>2.9056000000000002</c:v>
                </c:pt>
                <c:pt idx="64">
                  <c:v>2.8774999999999999</c:v>
                </c:pt>
                <c:pt idx="65">
                  <c:v>3.0242</c:v>
                </c:pt>
                <c:pt idx="66">
                  <c:v>2.8908</c:v>
                </c:pt>
                <c:pt idx="67">
                  <c:v>2.948</c:v>
                </c:pt>
                <c:pt idx="68">
                  <c:v>2.9451999999999998</c:v>
                </c:pt>
                <c:pt idx="69">
                  <c:v>2.8546999999999998</c:v>
                </c:pt>
                <c:pt idx="70">
                  <c:v>3.0790000000000002</c:v>
                </c:pt>
                <c:pt idx="71">
                  <c:v>2.9144999999999999</c:v>
                </c:pt>
                <c:pt idx="72">
                  <c:v>2.7890000000000001</c:v>
                </c:pt>
                <c:pt idx="73">
                  <c:v>2.9925999999999999</c:v>
                </c:pt>
                <c:pt idx="74">
                  <c:v>3.0055000000000001</c:v>
                </c:pt>
                <c:pt idx="75">
                  <c:v>2.9864999999999999</c:v>
                </c:pt>
                <c:pt idx="76">
                  <c:v>2.8649</c:v>
                </c:pt>
                <c:pt idx="77">
                  <c:v>2.9487999999999999</c:v>
                </c:pt>
                <c:pt idx="78">
                  <c:v>2.8477000000000001</c:v>
                </c:pt>
                <c:pt idx="79">
                  <c:v>1.1554</c:v>
                </c:pt>
                <c:pt idx="80">
                  <c:v>1.3522000000000001</c:v>
                </c:pt>
                <c:pt idx="81">
                  <c:v>1.7867999999999999</c:v>
                </c:pt>
                <c:pt idx="82">
                  <c:v>2.4592999999999998</c:v>
                </c:pt>
                <c:pt idx="83">
                  <c:v>2.5922999999999998</c:v>
                </c:pt>
                <c:pt idx="84">
                  <c:v>2.5396999999999998</c:v>
                </c:pt>
                <c:pt idx="85">
                  <c:v>2.5655999999999999</c:v>
                </c:pt>
                <c:pt idx="86">
                  <c:v>2.5834000000000001</c:v>
                </c:pt>
                <c:pt idx="87">
                  <c:v>2.5579999999999998</c:v>
                </c:pt>
                <c:pt idx="88">
                  <c:v>2.5684999999999998</c:v>
                </c:pt>
                <c:pt idx="89">
                  <c:v>2.6013000000000002</c:v>
                </c:pt>
                <c:pt idx="90">
                  <c:v>2.544</c:v>
                </c:pt>
                <c:pt idx="91">
                  <c:v>2.5499000000000001</c:v>
                </c:pt>
                <c:pt idx="92">
                  <c:v>2.5813000000000001</c:v>
                </c:pt>
                <c:pt idx="93">
                  <c:v>2.6185</c:v>
                </c:pt>
                <c:pt idx="94">
                  <c:v>2.5886999999999998</c:v>
                </c:pt>
                <c:pt idx="95">
                  <c:v>2.6004</c:v>
                </c:pt>
                <c:pt idx="96">
                  <c:v>2.6000999999999999</c:v>
                </c:pt>
                <c:pt idx="97">
                  <c:v>2.6193</c:v>
                </c:pt>
                <c:pt idx="98">
                  <c:v>2.6012</c:v>
                </c:pt>
                <c:pt idx="99">
                  <c:v>2.6044</c:v>
                </c:pt>
                <c:pt idx="100">
                  <c:v>2.5794000000000001</c:v>
                </c:pt>
                <c:pt idx="101">
                  <c:v>2.6461000000000001</c:v>
                </c:pt>
                <c:pt idx="102">
                  <c:v>2.6038999999999999</c:v>
                </c:pt>
                <c:pt idx="103">
                  <c:v>2.65</c:v>
                </c:pt>
                <c:pt idx="104">
                  <c:v>2.5969000000000002</c:v>
                </c:pt>
                <c:pt idx="105">
                  <c:v>2.6718000000000002</c:v>
                </c:pt>
                <c:pt idx="106">
                  <c:v>2.6478999999999999</c:v>
                </c:pt>
                <c:pt idx="107">
                  <c:v>2.6149</c:v>
                </c:pt>
                <c:pt idx="108">
                  <c:v>2.6478000000000002</c:v>
                </c:pt>
                <c:pt idx="109">
                  <c:v>2.61</c:v>
                </c:pt>
                <c:pt idx="110">
                  <c:v>2.6006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E176-3A4C-B3AE-BA48290A915E}"/>
            </c:ext>
          </c:extLst>
        </c:ser>
        <c:ser>
          <c:idx val="5"/>
          <c:order val="1"/>
          <c:tx>
            <c:v> 3" Propeller</c:v>
          </c:tx>
          <c:spPr>
            <a:ln w="25400">
              <a:solidFill>
                <a:schemeClr val="accent3">
                  <a:lumMod val="60000"/>
                  <a:lumOff val="40000"/>
                </a:schemeClr>
              </a:solidFill>
            </a:ln>
          </c:spPr>
          <c:marker>
            <c:symbol val="none"/>
          </c:marker>
          <c:xVal>
            <c:numRef>
              <c:f>'Datura Comparison'!$L$4:$L$114</c:f>
              <c:numCache>
                <c:formatCode>General</c:formatCode>
                <c:ptCount val="111"/>
                <c:pt idx="0">
                  <c:v>-1</c:v>
                </c:pt>
                <c:pt idx="1">
                  <c:v>-0.93384100000000003</c:v>
                </c:pt>
                <c:pt idx="2">
                  <c:v>-0.82036200000000004</c:v>
                </c:pt>
                <c:pt idx="3">
                  <c:v>-0.74048099999999994</c:v>
                </c:pt>
                <c:pt idx="4">
                  <c:v>-0.58836200000000005</c:v>
                </c:pt>
                <c:pt idx="5">
                  <c:v>-0.47752600000000001</c:v>
                </c:pt>
                <c:pt idx="6">
                  <c:v>-0.39816099999999999</c:v>
                </c:pt>
                <c:pt idx="7">
                  <c:v>-0.333731</c:v>
                </c:pt>
                <c:pt idx="8">
                  <c:v>-0.222557</c:v>
                </c:pt>
                <c:pt idx="9">
                  <c:v>-0.14262600000000003</c:v>
                </c:pt>
                <c:pt idx="10">
                  <c:v>-7.8313999999999995E-2</c:v>
                </c:pt>
                <c:pt idx="11">
                  <c:v>1.4739999999999975E-2</c:v>
                </c:pt>
                <c:pt idx="12">
                  <c:v>0.11880000000000002</c:v>
                </c:pt>
                <c:pt idx="13">
                  <c:v>0.19204500000000002</c:v>
                </c:pt>
                <c:pt idx="14">
                  <c:v>0.30304200000000003</c:v>
                </c:pt>
                <c:pt idx="15">
                  <c:v>0.38240500000000011</c:v>
                </c:pt>
                <c:pt idx="16">
                  <c:v>0.44741699999999995</c:v>
                </c:pt>
                <c:pt idx="17">
                  <c:v>0.57223599999999997</c:v>
                </c:pt>
                <c:pt idx="18">
                  <c:v>0.65201200000000004</c:v>
                </c:pt>
                <c:pt idx="19">
                  <c:v>0.72675000000000001</c:v>
                </c:pt>
                <c:pt idx="20">
                  <c:v>0.8473170000000001</c:v>
                </c:pt>
                <c:pt idx="21">
                  <c:v>0.92535499999999993</c:v>
                </c:pt>
                <c:pt idx="22">
                  <c:v>1.014815</c:v>
                </c:pt>
                <c:pt idx="23">
                  <c:v>1.0925210000000001</c:v>
                </c:pt>
                <c:pt idx="24">
                  <c:v>1.2011599999999998</c:v>
                </c:pt>
                <c:pt idx="25">
                  <c:v>1.2782610000000001</c:v>
                </c:pt>
                <c:pt idx="26">
                  <c:v>1.387178</c:v>
                </c:pt>
                <c:pt idx="27">
                  <c:v>1.4649320000000001</c:v>
                </c:pt>
                <c:pt idx="28">
                  <c:v>1.5726239999999998</c:v>
                </c:pt>
                <c:pt idx="29">
                  <c:v>1.6499459999999999</c:v>
                </c:pt>
                <c:pt idx="30">
                  <c:v>1.75787</c:v>
                </c:pt>
                <c:pt idx="31">
                  <c:v>1.8352270000000002</c:v>
                </c:pt>
                <c:pt idx="32">
                  <c:v>1.9429340000000002</c:v>
                </c:pt>
                <c:pt idx="33">
                  <c:v>2.0206300000000001</c:v>
                </c:pt>
                <c:pt idx="34">
                  <c:v>2.1302249999999998</c:v>
                </c:pt>
                <c:pt idx="35">
                  <c:v>2.207821</c:v>
                </c:pt>
                <c:pt idx="36">
                  <c:v>2.3161849999999999</c:v>
                </c:pt>
                <c:pt idx="37">
                  <c:v>2.3936220000000001</c:v>
                </c:pt>
                <c:pt idx="38">
                  <c:v>2.5021689999999999</c:v>
                </c:pt>
                <c:pt idx="39">
                  <c:v>2.581251</c:v>
                </c:pt>
                <c:pt idx="40">
                  <c:v>2.6888860000000001</c:v>
                </c:pt>
                <c:pt idx="41">
                  <c:v>2.7693400000000001</c:v>
                </c:pt>
                <c:pt idx="42">
                  <c:v>2.8780929999999998</c:v>
                </c:pt>
                <c:pt idx="43">
                  <c:v>2.9557190000000002</c:v>
                </c:pt>
                <c:pt idx="44">
                  <c:v>3.0644150000000003</c:v>
                </c:pt>
                <c:pt idx="45">
                  <c:v>3.1422470000000002</c:v>
                </c:pt>
                <c:pt idx="46">
                  <c:v>3.2055850000000001</c:v>
                </c:pt>
                <c:pt idx="47">
                  <c:v>3.32186</c:v>
                </c:pt>
                <c:pt idx="48">
                  <c:v>3.3997580000000003</c:v>
                </c:pt>
                <c:pt idx="49">
                  <c:v>3.5143380000000004</c:v>
                </c:pt>
                <c:pt idx="50">
                  <c:v>3.6040859999999997</c:v>
                </c:pt>
                <c:pt idx="51">
                  <c:v>3.6706120000000002</c:v>
                </c:pt>
                <c:pt idx="52">
                  <c:v>3.7919299999999998</c:v>
                </c:pt>
                <c:pt idx="53">
                  <c:v>3.8705530000000001</c:v>
                </c:pt>
                <c:pt idx="54">
                  <c:v>3.9794939999999999</c:v>
                </c:pt>
                <c:pt idx="55">
                  <c:v>4.0578070000000004</c:v>
                </c:pt>
                <c:pt idx="56">
                  <c:v>4.1662949999999999</c:v>
                </c:pt>
                <c:pt idx="57">
                  <c:v>4.2441740000000001</c:v>
                </c:pt>
                <c:pt idx="58">
                  <c:v>4.3527360000000002</c:v>
                </c:pt>
                <c:pt idx="59">
                  <c:v>4.430199</c:v>
                </c:pt>
                <c:pt idx="60">
                  <c:v>4.5379940000000003</c:v>
                </c:pt>
                <c:pt idx="61">
                  <c:v>4.6157149999999998</c:v>
                </c:pt>
                <c:pt idx="62">
                  <c:v>4.7238439999999997</c:v>
                </c:pt>
                <c:pt idx="63">
                  <c:v>4.8012170000000003</c:v>
                </c:pt>
                <c:pt idx="64">
                  <c:v>4.8638399999999997</c:v>
                </c:pt>
                <c:pt idx="65">
                  <c:v>4.9718970000000002</c:v>
                </c:pt>
                <c:pt idx="66">
                  <c:v>5.0491339999999996</c:v>
                </c:pt>
                <c:pt idx="67">
                  <c:v>5.1588789999999998</c:v>
                </c:pt>
                <c:pt idx="68">
                  <c:v>5.2368490000000003</c:v>
                </c:pt>
                <c:pt idx="69">
                  <c:v>5.3456049999999999</c:v>
                </c:pt>
                <c:pt idx="70">
                  <c:v>5.4238799999999996</c:v>
                </c:pt>
                <c:pt idx="71">
                  <c:v>5.5142980000000001</c:v>
                </c:pt>
                <c:pt idx="72">
                  <c:v>5.6167769999999999</c:v>
                </c:pt>
                <c:pt idx="73">
                  <c:v>5.7260530000000003</c:v>
                </c:pt>
                <c:pt idx="74">
                  <c:v>5.8036430000000001</c:v>
                </c:pt>
                <c:pt idx="75">
                  <c:v>5.9118300000000001</c:v>
                </c:pt>
                <c:pt idx="76">
                  <c:v>5.9898689999999997</c:v>
                </c:pt>
                <c:pt idx="77">
                  <c:v>6.0994650000000004</c:v>
                </c:pt>
                <c:pt idx="78">
                  <c:v>6.1781680000000003</c:v>
                </c:pt>
                <c:pt idx="79">
                  <c:v>6.2937279999999998</c:v>
                </c:pt>
                <c:pt idx="80">
                  <c:v>6.3711070000000003</c:v>
                </c:pt>
                <c:pt idx="81">
                  <c:v>6.4335750000000003</c:v>
                </c:pt>
                <c:pt idx="82">
                  <c:v>6.5579559999999999</c:v>
                </c:pt>
                <c:pt idx="83">
                  <c:v>6.6370009999999997</c:v>
                </c:pt>
                <c:pt idx="84">
                  <c:v>6.744802</c:v>
                </c:pt>
                <c:pt idx="85">
                  <c:v>6.8227130000000002</c:v>
                </c:pt>
                <c:pt idx="86">
                  <c:v>6.914428</c:v>
                </c:pt>
                <c:pt idx="87">
                  <c:v>7.0040200000000006</c:v>
                </c:pt>
                <c:pt idx="88">
                  <c:v>7.115202</c:v>
                </c:pt>
                <c:pt idx="89">
                  <c:v>7.1940299999999997</c:v>
                </c:pt>
                <c:pt idx="90">
                  <c:v>7.2579049999999992</c:v>
                </c:pt>
                <c:pt idx="91">
                  <c:v>7.3666859999999996</c:v>
                </c:pt>
                <c:pt idx="92">
                  <c:v>7.4446449999999995</c:v>
                </c:pt>
                <c:pt idx="93">
                  <c:v>7.5530139999999992</c:v>
                </c:pt>
                <c:pt idx="94">
                  <c:v>7.6310140000000004</c:v>
                </c:pt>
                <c:pt idx="95">
                  <c:v>7.7396919999999998</c:v>
                </c:pt>
                <c:pt idx="96">
                  <c:v>7.817043</c:v>
                </c:pt>
                <c:pt idx="97">
                  <c:v>7.9263370000000002</c:v>
                </c:pt>
                <c:pt idx="98">
                  <c:v>8.0046579999999992</c:v>
                </c:pt>
                <c:pt idx="99">
                  <c:v>8.1139600000000005</c:v>
                </c:pt>
                <c:pt idx="100">
                  <c:v>8.1925240000000006</c:v>
                </c:pt>
                <c:pt idx="101">
                  <c:v>8.3015559999999997</c:v>
                </c:pt>
                <c:pt idx="102">
                  <c:v>8.3789560000000005</c:v>
                </c:pt>
                <c:pt idx="103">
                  <c:v>8.4880410000000008</c:v>
                </c:pt>
                <c:pt idx="104">
                  <c:v>8.5662839999999996</c:v>
                </c:pt>
                <c:pt idx="105">
                  <c:v>8.675497</c:v>
                </c:pt>
                <c:pt idx="106">
                  <c:v>8.7537280000000006</c:v>
                </c:pt>
                <c:pt idx="107">
                  <c:v>8.8639060000000001</c:v>
                </c:pt>
                <c:pt idx="108">
                  <c:v>8.9434819999999995</c:v>
                </c:pt>
                <c:pt idx="109">
                  <c:v>9.0081260000000007</c:v>
                </c:pt>
                <c:pt idx="110">
                  <c:v>9.1183929999999993</c:v>
                </c:pt>
              </c:numCache>
            </c:numRef>
          </c:xVal>
          <c:yVal>
            <c:numRef>
              <c:f>'Datura Comparison'!$J$4:$J$115</c:f>
              <c:numCache>
                <c:formatCode>General</c:formatCode>
                <c:ptCount val="112"/>
                <c:pt idx="0">
                  <c:v>0.88819999999999999</c:v>
                </c:pt>
                <c:pt idx="1">
                  <c:v>1.1248</c:v>
                </c:pt>
                <c:pt idx="2">
                  <c:v>1.8653</c:v>
                </c:pt>
                <c:pt idx="3">
                  <c:v>1.2824</c:v>
                </c:pt>
                <c:pt idx="4">
                  <c:v>0.82</c:v>
                </c:pt>
                <c:pt idx="5">
                  <c:v>0.88819999999999999</c:v>
                </c:pt>
                <c:pt idx="6">
                  <c:v>1.4601</c:v>
                </c:pt>
                <c:pt idx="7">
                  <c:v>1.5740000000000001</c:v>
                </c:pt>
                <c:pt idx="8">
                  <c:v>0.83520000000000005</c:v>
                </c:pt>
                <c:pt idx="9">
                  <c:v>1.3168</c:v>
                </c:pt>
                <c:pt idx="10">
                  <c:v>1.4024000000000001</c:v>
                </c:pt>
                <c:pt idx="11">
                  <c:v>1.2618</c:v>
                </c:pt>
                <c:pt idx="12">
                  <c:v>0.59670000000000001</c:v>
                </c:pt>
                <c:pt idx="13">
                  <c:v>-2.35E-2</c:v>
                </c:pt>
                <c:pt idx="14">
                  <c:v>0.24410000000000001</c:v>
                </c:pt>
                <c:pt idx="15">
                  <c:v>1.12E-2</c:v>
                </c:pt>
                <c:pt idx="16">
                  <c:v>4.4600000000000001E-2</c:v>
                </c:pt>
                <c:pt idx="17">
                  <c:v>0.82709999999999995</c:v>
                </c:pt>
                <c:pt idx="18">
                  <c:v>2.5909</c:v>
                </c:pt>
                <c:pt idx="19">
                  <c:v>3.2951999999999999</c:v>
                </c:pt>
                <c:pt idx="20">
                  <c:v>3.181</c:v>
                </c:pt>
                <c:pt idx="21">
                  <c:v>2.9821</c:v>
                </c:pt>
                <c:pt idx="22">
                  <c:v>3.3294999999999999</c:v>
                </c:pt>
                <c:pt idx="23">
                  <c:v>3.3447</c:v>
                </c:pt>
                <c:pt idx="24">
                  <c:v>2.9868000000000001</c:v>
                </c:pt>
                <c:pt idx="25">
                  <c:v>2.9746999999999999</c:v>
                </c:pt>
                <c:pt idx="26">
                  <c:v>3.2648999999999999</c:v>
                </c:pt>
                <c:pt idx="27">
                  <c:v>3.0928</c:v>
                </c:pt>
                <c:pt idx="28">
                  <c:v>3.2574999999999998</c:v>
                </c:pt>
                <c:pt idx="29">
                  <c:v>3.1379000000000001</c:v>
                </c:pt>
                <c:pt idx="30">
                  <c:v>3.0529000000000002</c:v>
                </c:pt>
                <c:pt idx="31">
                  <c:v>3.1882000000000001</c:v>
                </c:pt>
                <c:pt idx="32">
                  <c:v>2.9931000000000001</c:v>
                </c:pt>
                <c:pt idx="33">
                  <c:v>2.9512999999999998</c:v>
                </c:pt>
                <c:pt idx="34">
                  <c:v>3.2829999999999999</c:v>
                </c:pt>
                <c:pt idx="35">
                  <c:v>3.1048</c:v>
                </c:pt>
                <c:pt idx="36">
                  <c:v>3.2786</c:v>
                </c:pt>
                <c:pt idx="37">
                  <c:v>3.0495000000000001</c:v>
                </c:pt>
                <c:pt idx="38">
                  <c:v>2.9706000000000001</c:v>
                </c:pt>
                <c:pt idx="39">
                  <c:v>2.9136000000000002</c:v>
                </c:pt>
                <c:pt idx="40">
                  <c:v>3.2090999999999998</c:v>
                </c:pt>
                <c:pt idx="41">
                  <c:v>3.3405999999999998</c:v>
                </c:pt>
                <c:pt idx="42">
                  <c:v>3.2450999999999999</c:v>
                </c:pt>
                <c:pt idx="43">
                  <c:v>2.9264999999999999</c:v>
                </c:pt>
                <c:pt idx="44">
                  <c:v>3.0463</c:v>
                </c:pt>
                <c:pt idx="45">
                  <c:v>3.1076000000000001</c:v>
                </c:pt>
                <c:pt idx="46">
                  <c:v>2.9990000000000001</c:v>
                </c:pt>
                <c:pt idx="47">
                  <c:v>0.91539999999999999</c:v>
                </c:pt>
                <c:pt idx="48">
                  <c:v>1.575</c:v>
                </c:pt>
                <c:pt idx="49">
                  <c:v>2.6953</c:v>
                </c:pt>
                <c:pt idx="50">
                  <c:v>3.0836000000000001</c:v>
                </c:pt>
                <c:pt idx="51">
                  <c:v>3.2867999999999999</c:v>
                </c:pt>
                <c:pt idx="52">
                  <c:v>3.3346</c:v>
                </c:pt>
                <c:pt idx="53">
                  <c:v>3.3996</c:v>
                </c:pt>
                <c:pt idx="54">
                  <c:v>3.2288999999999999</c:v>
                </c:pt>
                <c:pt idx="55">
                  <c:v>3.3772000000000002</c:v>
                </c:pt>
                <c:pt idx="56">
                  <c:v>3.1892</c:v>
                </c:pt>
                <c:pt idx="57">
                  <c:v>3.2158000000000002</c:v>
                </c:pt>
                <c:pt idx="58">
                  <c:v>3.0731999999999999</c:v>
                </c:pt>
                <c:pt idx="59">
                  <c:v>3.3214999999999999</c:v>
                </c:pt>
                <c:pt idx="60">
                  <c:v>3.3081</c:v>
                </c:pt>
                <c:pt idx="61">
                  <c:v>3.1829999999999998</c:v>
                </c:pt>
                <c:pt idx="62">
                  <c:v>3.3121</c:v>
                </c:pt>
                <c:pt idx="63">
                  <c:v>3.1932999999999998</c:v>
                </c:pt>
                <c:pt idx="64">
                  <c:v>3.2885</c:v>
                </c:pt>
                <c:pt idx="65">
                  <c:v>3.1897000000000002</c:v>
                </c:pt>
                <c:pt idx="66">
                  <c:v>3.2835000000000001</c:v>
                </c:pt>
                <c:pt idx="67">
                  <c:v>3.3108</c:v>
                </c:pt>
                <c:pt idx="68">
                  <c:v>3.3254999999999999</c:v>
                </c:pt>
                <c:pt idx="69">
                  <c:v>3.3005</c:v>
                </c:pt>
                <c:pt idx="70">
                  <c:v>3.2822</c:v>
                </c:pt>
                <c:pt idx="71">
                  <c:v>3.4159000000000002</c:v>
                </c:pt>
                <c:pt idx="72">
                  <c:v>3.3056000000000001</c:v>
                </c:pt>
                <c:pt idx="73">
                  <c:v>3.3353999999999999</c:v>
                </c:pt>
                <c:pt idx="74">
                  <c:v>3.2395</c:v>
                </c:pt>
                <c:pt idx="75">
                  <c:v>3.3161</c:v>
                </c:pt>
                <c:pt idx="76">
                  <c:v>3.2320000000000002</c:v>
                </c:pt>
                <c:pt idx="77">
                  <c:v>3.4266000000000001</c:v>
                </c:pt>
                <c:pt idx="78">
                  <c:v>3.2818000000000001</c:v>
                </c:pt>
                <c:pt idx="79">
                  <c:v>3.4028</c:v>
                </c:pt>
                <c:pt idx="80">
                  <c:v>1.4237</c:v>
                </c:pt>
                <c:pt idx="81">
                  <c:v>1.9072</c:v>
                </c:pt>
                <c:pt idx="82">
                  <c:v>2.6080999999999999</c:v>
                </c:pt>
                <c:pt idx="83">
                  <c:v>2.9119999999999999</c:v>
                </c:pt>
                <c:pt idx="84">
                  <c:v>3.0272999999999999</c:v>
                </c:pt>
                <c:pt idx="85">
                  <c:v>2.9598</c:v>
                </c:pt>
                <c:pt idx="86">
                  <c:v>2.9483999999999999</c:v>
                </c:pt>
                <c:pt idx="87">
                  <c:v>2.9567999999999999</c:v>
                </c:pt>
                <c:pt idx="88">
                  <c:v>2.9401000000000002</c:v>
                </c:pt>
                <c:pt idx="89">
                  <c:v>2.9119999999999999</c:v>
                </c:pt>
                <c:pt idx="90">
                  <c:v>2.8976999999999999</c:v>
                </c:pt>
                <c:pt idx="91">
                  <c:v>2.9980000000000002</c:v>
                </c:pt>
                <c:pt idx="92">
                  <c:v>2.99</c:v>
                </c:pt>
                <c:pt idx="93">
                  <c:v>2.8186</c:v>
                </c:pt>
                <c:pt idx="94">
                  <c:v>2.9460000000000002</c:v>
                </c:pt>
                <c:pt idx="95">
                  <c:v>3.0310999999999999</c:v>
                </c:pt>
                <c:pt idx="96">
                  <c:v>2.9308000000000001</c:v>
                </c:pt>
                <c:pt idx="97">
                  <c:v>2.9582999999999999</c:v>
                </c:pt>
                <c:pt idx="98">
                  <c:v>2.9876</c:v>
                </c:pt>
                <c:pt idx="99">
                  <c:v>3.0171000000000001</c:v>
                </c:pt>
                <c:pt idx="100">
                  <c:v>2.9567999999999999</c:v>
                </c:pt>
                <c:pt idx="101">
                  <c:v>2.9660000000000002</c:v>
                </c:pt>
                <c:pt idx="102">
                  <c:v>2.9177</c:v>
                </c:pt>
                <c:pt idx="103">
                  <c:v>2.9792999999999998</c:v>
                </c:pt>
                <c:pt idx="104">
                  <c:v>2.9992999999999999</c:v>
                </c:pt>
                <c:pt idx="105">
                  <c:v>2.9403000000000001</c:v>
                </c:pt>
                <c:pt idx="106">
                  <c:v>2.9981</c:v>
                </c:pt>
                <c:pt idx="107">
                  <c:v>2.9676</c:v>
                </c:pt>
                <c:pt idx="108">
                  <c:v>2.99</c:v>
                </c:pt>
                <c:pt idx="109">
                  <c:v>2.9866999999999999</c:v>
                </c:pt>
                <c:pt idx="110">
                  <c:v>2.9474999999999998</c:v>
                </c:pt>
                <c:pt idx="111">
                  <c:v>2.9649000000000001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E176-3A4C-B3AE-BA48290A915E}"/>
            </c:ext>
          </c:extLst>
        </c:ser>
        <c:ser>
          <c:idx val="6"/>
          <c:order val="2"/>
          <c:tx>
            <c:v> 3.5" Propeller</c:v>
          </c:tx>
          <c:spPr>
            <a:ln w="25400">
              <a:solidFill>
                <a:schemeClr val="accent4">
                  <a:lumMod val="60000"/>
                  <a:lumOff val="40000"/>
                </a:schemeClr>
              </a:solidFill>
            </a:ln>
          </c:spPr>
          <c:marker>
            <c:symbol val="none"/>
          </c:marker>
          <c:xVal>
            <c:numRef>
              <c:f>'Datura Comparison'!$Q$4:$Q$114</c:f>
              <c:numCache>
                <c:formatCode>General</c:formatCode>
                <c:ptCount val="111"/>
                <c:pt idx="0">
                  <c:v>-1</c:v>
                </c:pt>
                <c:pt idx="1">
                  <c:v>-0.89768499999999996</c:v>
                </c:pt>
                <c:pt idx="2">
                  <c:v>-0.79012700000000002</c:v>
                </c:pt>
                <c:pt idx="3">
                  <c:v>-0.71203100000000008</c:v>
                </c:pt>
                <c:pt idx="4">
                  <c:v>-0.60577900000000007</c:v>
                </c:pt>
                <c:pt idx="5">
                  <c:v>-0.527945</c:v>
                </c:pt>
                <c:pt idx="6">
                  <c:v>-0.42027599999999998</c:v>
                </c:pt>
                <c:pt idx="7">
                  <c:v>-0.34210099999999999</c:v>
                </c:pt>
                <c:pt idx="8">
                  <c:v>-0.23547499999999999</c:v>
                </c:pt>
                <c:pt idx="9">
                  <c:v>-0.15701399999999999</c:v>
                </c:pt>
                <c:pt idx="10">
                  <c:v>-5.1219000000000015E-2</c:v>
                </c:pt>
                <c:pt idx="11">
                  <c:v>2.653900000000009E-2</c:v>
                </c:pt>
                <c:pt idx="12">
                  <c:v>0.14241799999999993</c:v>
                </c:pt>
                <c:pt idx="13">
                  <c:v>0.221557</c:v>
                </c:pt>
                <c:pt idx="14">
                  <c:v>0.28492899999999999</c:v>
                </c:pt>
                <c:pt idx="15">
                  <c:v>0.3925320000000001</c:v>
                </c:pt>
                <c:pt idx="16">
                  <c:v>0.48358799999999991</c:v>
                </c:pt>
                <c:pt idx="17">
                  <c:v>0.56181499999999995</c:v>
                </c:pt>
                <c:pt idx="18">
                  <c:v>0.68094699999999997</c:v>
                </c:pt>
                <c:pt idx="19">
                  <c:v>0.77048699999999992</c:v>
                </c:pt>
                <c:pt idx="20">
                  <c:v>0.83604100000000003</c:v>
                </c:pt>
                <c:pt idx="21">
                  <c:v>0.943249</c:v>
                </c:pt>
                <c:pt idx="22">
                  <c:v>1.0216560000000001</c:v>
                </c:pt>
                <c:pt idx="23">
                  <c:v>1.1105260000000001</c:v>
                </c:pt>
                <c:pt idx="24">
                  <c:v>1.2127249999999998</c:v>
                </c:pt>
                <c:pt idx="25">
                  <c:v>1.3199779999999999</c:v>
                </c:pt>
                <c:pt idx="26">
                  <c:v>1.3984899999999998</c:v>
                </c:pt>
                <c:pt idx="27">
                  <c:v>1.506446</c:v>
                </c:pt>
                <c:pt idx="28">
                  <c:v>1.5859260000000002</c:v>
                </c:pt>
                <c:pt idx="29">
                  <c:v>1.6923629999999998</c:v>
                </c:pt>
                <c:pt idx="30">
                  <c:v>1.7696429999999999</c:v>
                </c:pt>
                <c:pt idx="31">
                  <c:v>1.875127</c:v>
                </c:pt>
                <c:pt idx="32">
                  <c:v>1.952064</c:v>
                </c:pt>
                <c:pt idx="33">
                  <c:v>2.058942</c:v>
                </c:pt>
                <c:pt idx="34">
                  <c:v>2.137108</c:v>
                </c:pt>
                <c:pt idx="35">
                  <c:v>2.2489129999999999</c:v>
                </c:pt>
                <c:pt idx="36">
                  <c:v>2.3279380000000001</c:v>
                </c:pt>
                <c:pt idx="37">
                  <c:v>2.4347859999999999</c:v>
                </c:pt>
                <c:pt idx="38">
                  <c:v>2.5122309999999999</c:v>
                </c:pt>
                <c:pt idx="39">
                  <c:v>2.6181260000000002</c:v>
                </c:pt>
                <c:pt idx="40">
                  <c:v>2.6952600000000002</c:v>
                </c:pt>
                <c:pt idx="41">
                  <c:v>2.8004579999999999</c:v>
                </c:pt>
                <c:pt idx="42">
                  <c:v>2.8784019999999999</c:v>
                </c:pt>
                <c:pt idx="43">
                  <c:v>2.9852609999999999</c:v>
                </c:pt>
                <c:pt idx="44">
                  <c:v>3.062576</c:v>
                </c:pt>
                <c:pt idx="45">
                  <c:v>3.1773730000000002</c:v>
                </c:pt>
                <c:pt idx="46">
                  <c:v>3.2552269999999996</c:v>
                </c:pt>
                <c:pt idx="47">
                  <c:v>3.3160800000000004</c:v>
                </c:pt>
                <c:pt idx="48">
                  <c:v>3.4392509999999996</c:v>
                </c:pt>
                <c:pt idx="49">
                  <c:v>3.5275040000000004</c:v>
                </c:pt>
                <c:pt idx="50">
                  <c:v>3.6363000000000003</c:v>
                </c:pt>
                <c:pt idx="51">
                  <c:v>3.7135220000000002</c:v>
                </c:pt>
                <c:pt idx="52">
                  <c:v>3.818181</c:v>
                </c:pt>
                <c:pt idx="53">
                  <c:v>3.8946649999999998</c:v>
                </c:pt>
                <c:pt idx="54">
                  <c:v>4.0002149999999999</c:v>
                </c:pt>
                <c:pt idx="55">
                  <c:v>4.0771980000000001</c:v>
                </c:pt>
                <c:pt idx="56">
                  <c:v>4.1832289999999999</c:v>
                </c:pt>
                <c:pt idx="57">
                  <c:v>4.2605599999999999</c:v>
                </c:pt>
                <c:pt idx="58">
                  <c:v>4.3651999999999997</c:v>
                </c:pt>
                <c:pt idx="59">
                  <c:v>4.4418670000000002</c:v>
                </c:pt>
                <c:pt idx="60">
                  <c:v>4.5458809999999996</c:v>
                </c:pt>
                <c:pt idx="61">
                  <c:v>4.6219200000000003</c:v>
                </c:pt>
                <c:pt idx="62">
                  <c:v>4.7255880000000001</c:v>
                </c:pt>
                <c:pt idx="63">
                  <c:v>4.8021050000000001</c:v>
                </c:pt>
                <c:pt idx="64">
                  <c:v>4.9070460000000002</c:v>
                </c:pt>
                <c:pt idx="65">
                  <c:v>4.9845179999999996</c:v>
                </c:pt>
                <c:pt idx="66">
                  <c:v>5.0908379999999998</c:v>
                </c:pt>
                <c:pt idx="67">
                  <c:v>5.1682899999999998</c:v>
                </c:pt>
                <c:pt idx="68">
                  <c:v>5.2725090000000003</c:v>
                </c:pt>
                <c:pt idx="69">
                  <c:v>5.3489820000000003</c:v>
                </c:pt>
                <c:pt idx="70">
                  <c:v>5.4542130000000002</c:v>
                </c:pt>
                <c:pt idx="71">
                  <c:v>5.5308320000000002</c:v>
                </c:pt>
                <c:pt idx="72">
                  <c:v>5.6345999999999998</c:v>
                </c:pt>
                <c:pt idx="73">
                  <c:v>5.7110599999999998</c:v>
                </c:pt>
                <c:pt idx="74">
                  <c:v>5.8164429999999996</c:v>
                </c:pt>
                <c:pt idx="75">
                  <c:v>5.9165970000000003</c:v>
                </c:pt>
                <c:pt idx="76">
                  <c:v>6.021935</c:v>
                </c:pt>
                <c:pt idx="77">
                  <c:v>6.099672</c:v>
                </c:pt>
                <c:pt idx="78">
                  <c:v>6.2121709999999997</c:v>
                </c:pt>
                <c:pt idx="79">
                  <c:v>6.2892479999999997</c:v>
                </c:pt>
                <c:pt idx="80">
                  <c:v>6.3940270000000003</c:v>
                </c:pt>
                <c:pt idx="81">
                  <c:v>6.4853639999999997</c:v>
                </c:pt>
                <c:pt idx="82">
                  <c:v>6.548902</c:v>
                </c:pt>
                <c:pt idx="83">
                  <c:v>6.6662730000000003</c:v>
                </c:pt>
                <c:pt idx="84">
                  <c:v>6.7434859999999999</c:v>
                </c:pt>
                <c:pt idx="85">
                  <c:v>6.8478440000000003</c:v>
                </c:pt>
                <c:pt idx="86">
                  <c:v>6.9238390000000001</c:v>
                </c:pt>
                <c:pt idx="87">
                  <c:v>7.0106219999999997</c:v>
                </c:pt>
                <c:pt idx="88">
                  <c:v>7.1112870000000008</c:v>
                </c:pt>
                <c:pt idx="89">
                  <c:v>7.2162970000000008</c:v>
                </c:pt>
                <c:pt idx="90">
                  <c:v>7.2936890000000005</c:v>
                </c:pt>
                <c:pt idx="91">
                  <c:v>7.3991249999999997</c:v>
                </c:pt>
                <c:pt idx="92">
                  <c:v>7.4757020000000001</c:v>
                </c:pt>
                <c:pt idx="93">
                  <c:v>7.5798210000000008</c:v>
                </c:pt>
                <c:pt idx="94">
                  <c:v>7.656212</c:v>
                </c:pt>
                <c:pt idx="95">
                  <c:v>7.7633639999999993</c:v>
                </c:pt>
                <c:pt idx="96">
                  <c:v>7.8416040000000002</c:v>
                </c:pt>
                <c:pt idx="97">
                  <c:v>7.9473909999999997</c:v>
                </c:pt>
                <c:pt idx="98">
                  <c:v>8.024381</c:v>
                </c:pt>
                <c:pt idx="99">
                  <c:v>8.1296890000000008</c:v>
                </c:pt>
                <c:pt idx="100">
                  <c:v>8.2066660000000002</c:v>
                </c:pt>
                <c:pt idx="101">
                  <c:v>8.3127809999999993</c:v>
                </c:pt>
                <c:pt idx="102">
                  <c:v>8.3891559999999998</c:v>
                </c:pt>
                <c:pt idx="103">
                  <c:v>8.4939490000000006</c:v>
                </c:pt>
                <c:pt idx="104">
                  <c:v>8.5705270000000002</c:v>
                </c:pt>
                <c:pt idx="105">
                  <c:v>8.6765129999999999</c:v>
                </c:pt>
                <c:pt idx="106">
                  <c:v>8.7532870000000003</c:v>
                </c:pt>
                <c:pt idx="107">
                  <c:v>8.8587319999999998</c:v>
                </c:pt>
                <c:pt idx="108">
                  <c:v>8.9369639999999997</c:v>
                </c:pt>
                <c:pt idx="109">
                  <c:v>9.0423799999999996</c:v>
                </c:pt>
                <c:pt idx="110">
                  <c:v>9.1195850000000007</c:v>
                </c:pt>
              </c:numCache>
            </c:numRef>
          </c:xVal>
          <c:yVal>
            <c:numRef>
              <c:f>'Datura Comparison'!$P$4:$P$114</c:f>
              <c:numCache>
                <c:formatCode>General</c:formatCode>
                <c:ptCount val="111"/>
                <c:pt idx="0">
                  <c:v>6.3100000000000003E-2</c:v>
                </c:pt>
                <c:pt idx="1">
                  <c:v>-3.9199999999999999E-2</c:v>
                </c:pt>
                <c:pt idx="2">
                  <c:v>-0.2923</c:v>
                </c:pt>
                <c:pt idx="3">
                  <c:v>-0.23169999999999999</c:v>
                </c:pt>
                <c:pt idx="4">
                  <c:v>-0.17549999999999999</c:v>
                </c:pt>
                <c:pt idx="5">
                  <c:v>-0.2437</c:v>
                </c:pt>
                <c:pt idx="6">
                  <c:v>-0.17549999999999999</c:v>
                </c:pt>
                <c:pt idx="7">
                  <c:v>-1.0956999999999999</c:v>
                </c:pt>
                <c:pt idx="8">
                  <c:v>-0.7379</c:v>
                </c:pt>
                <c:pt idx="9">
                  <c:v>-0.94240000000000002</c:v>
                </c:pt>
                <c:pt idx="10">
                  <c:v>-0.2777</c:v>
                </c:pt>
                <c:pt idx="11">
                  <c:v>-0.65580000000000005</c:v>
                </c:pt>
                <c:pt idx="12">
                  <c:v>-0.35289999999999999</c:v>
                </c:pt>
                <c:pt idx="13">
                  <c:v>-0.45900000000000002</c:v>
                </c:pt>
                <c:pt idx="14">
                  <c:v>-4.1500000000000002E-2</c:v>
                </c:pt>
                <c:pt idx="15">
                  <c:v>1.7299999999999999E-2</c:v>
                </c:pt>
                <c:pt idx="16">
                  <c:v>0.58430000000000004</c:v>
                </c:pt>
                <c:pt idx="17">
                  <c:v>2.0750999999999999</c:v>
                </c:pt>
                <c:pt idx="18">
                  <c:v>3.7917000000000001</c:v>
                </c:pt>
                <c:pt idx="19">
                  <c:v>4.1336000000000004</c:v>
                </c:pt>
                <c:pt idx="20">
                  <c:v>4.0537999999999998</c:v>
                </c:pt>
                <c:pt idx="21">
                  <c:v>4.2201000000000004</c:v>
                </c:pt>
                <c:pt idx="22">
                  <c:v>4.0858999999999996</c:v>
                </c:pt>
                <c:pt idx="23">
                  <c:v>4.2744999999999997</c:v>
                </c:pt>
                <c:pt idx="24">
                  <c:v>4.0067000000000004</c:v>
                </c:pt>
                <c:pt idx="25">
                  <c:v>4.2011000000000003</c:v>
                </c:pt>
                <c:pt idx="26">
                  <c:v>3.7991999999999999</c:v>
                </c:pt>
                <c:pt idx="27">
                  <c:v>3.9916</c:v>
                </c:pt>
                <c:pt idx="28">
                  <c:v>3.8683000000000001</c:v>
                </c:pt>
                <c:pt idx="29">
                  <c:v>4.0290999999999997</c:v>
                </c:pt>
                <c:pt idx="30">
                  <c:v>3.8698000000000001</c:v>
                </c:pt>
                <c:pt idx="31">
                  <c:v>4.0641999999999996</c:v>
                </c:pt>
                <c:pt idx="32">
                  <c:v>4.1619999999999999</c:v>
                </c:pt>
                <c:pt idx="33">
                  <c:v>3.9041000000000001</c:v>
                </c:pt>
                <c:pt idx="34">
                  <c:v>4.0903999999999998</c:v>
                </c:pt>
                <c:pt idx="35">
                  <c:v>4.2626999999999997</c:v>
                </c:pt>
                <c:pt idx="36">
                  <c:v>3.8473000000000002</c:v>
                </c:pt>
                <c:pt idx="37">
                  <c:v>4.2342000000000004</c:v>
                </c:pt>
                <c:pt idx="38">
                  <c:v>4.1637000000000004</c:v>
                </c:pt>
                <c:pt idx="39">
                  <c:v>4.0857000000000001</c:v>
                </c:pt>
                <c:pt idx="40">
                  <c:v>4.0095999999999998</c:v>
                </c:pt>
                <c:pt idx="41">
                  <c:v>3.8039000000000001</c:v>
                </c:pt>
                <c:pt idx="42">
                  <c:v>3.7801999999999998</c:v>
                </c:pt>
                <c:pt idx="43">
                  <c:v>4.0685000000000002</c:v>
                </c:pt>
                <c:pt idx="44">
                  <c:v>4.0198999999999998</c:v>
                </c:pt>
                <c:pt idx="45">
                  <c:v>4.0868000000000002</c:v>
                </c:pt>
                <c:pt idx="46">
                  <c:v>1.2181</c:v>
                </c:pt>
                <c:pt idx="47">
                  <c:v>1.8331</c:v>
                </c:pt>
                <c:pt idx="48">
                  <c:v>3.0087000000000002</c:v>
                </c:pt>
                <c:pt idx="49">
                  <c:v>3.3014000000000001</c:v>
                </c:pt>
                <c:pt idx="50">
                  <c:v>3.3292999999999999</c:v>
                </c:pt>
                <c:pt idx="51">
                  <c:v>3.4710999999999999</c:v>
                </c:pt>
                <c:pt idx="52">
                  <c:v>3.5362</c:v>
                </c:pt>
                <c:pt idx="53">
                  <c:v>3.3235000000000001</c:v>
                </c:pt>
                <c:pt idx="54">
                  <c:v>3.4432</c:v>
                </c:pt>
                <c:pt idx="55">
                  <c:v>3.4676</c:v>
                </c:pt>
                <c:pt idx="56">
                  <c:v>3.5190000000000001</c:v>
                </c:pt>
                <c:pt idx="57">
                  <c:v>3.5823</c:v>
                </c:pt>
                <c:pt idx="58">
                  <c:v>3.5066999999999999</c:v>
                </c:pt>
                <c:pt idx="59">
                  <c:v>3.3936000000000002</c:v>
                </c:pt>
                <c:pt idx="60">
                  <c:v>3.3395999999999999</c:v>
                </c:pt>
                <c:pt idx="61">
                  <c:v>3.4872999999999998</c:v>
                </c:pt>
                <c:pt idx="62">
                  <c:v>3.3035999999999999</c:v>
                </c:pt>
                <c:pt idx="63">
                  <c:v>3.5442999999999998</c:v>
                </c:pt>
                <c:pt idx="64">
                  <c:v>3.4990999999999999</c:v>
                </c:pt>
                <c:pt idx="65">
                  <c:v>3.5958999999999999</c:v>
                </c:pt>
                <c:pt idx="66">
                  <c:v>3.6379000000000001</c:v>
                </c:pt>
                <c:pt idx="67">
                  <c:v>3.3889999999999998</c:v>
                </c:pt>
                <c:pt idx="68">
                  <c:v>3.3967000000000001</c:v>
                </c:pt>
                <c:pt idx="69">
                  <c:v>3.3574000000000002</c:v>
                </c:pt>
                <c:pt idx="70">
                  <c:v>3.5268000000000002</c:v>
                </c:pt>
                <c:pt idx="71">
                  <c:v>3.4157999999999999</c:v>
                </c:pt>
                <c:pt idx="72">
                  <c:v>3.4657</c:v>
                </c:pt>
                <c:pt idx="73">
                  <c:v>3.3395999999999999</c:v>
                </c:pt>
                <c:pt idx="74">
                  <c:v>3.3201000000000001</c:v>
                </c:pt>
                <c:pt idx="75">
                  <c:v>3.4310999999999998</c:v>
                </c:pt>
                <c:pt idx="76">
                  <c:v>3.3898999999999999</c:v>
                </c:pt>
                <c:pt idx="77">
                  <c:v>3.5430000000000001</c:v>
                </c:pt>
                <c:pt idx="78">
                  <c:v>3.4573999999999998</c:v>
                </c:pt>
                <c:pt idx="79">
                  <c:v>1.4570000000000001</c:v>
                </c:pt>
                <c:pt idx="80">
                  <c:v>1.8523000000000001</c:v>
                </c:pt>
                <c:pt idx="81">
                  <c:v>2.4975999999999998</c:v>
                </c:pt>
                <c:pt idx="82">
                  <c:v>2.7637999999999998</c:v>
                </c:pt>
                <c:pt idx="83">
                  <c:v>2.8081</c:v>
                </c:pt>
                <c:pt idx="84">
                  <c:v>2.8605</c:v>
                </c:pt>
                <c:pt idx="85">
                  <c:v>2.8268</c:v>
                </c:pt>
                <c:pt idx="86">
                  <c:v>2.7900999999999998</c:v>
                </c:pt>
                <c:pt idx="87">
                  <c:v>2.8361000000000001</c:v>
                </c:pt>
                <c:pt idx="88">
                  <c:v>2.7606000000000002</c:v>
                </c:pt>
                <c:pt idx="89">
                  <c:v>2.7786</c:v>
                </c:pt>
                <c:pt idx="90">
                  <c:v>2.7848999999999999</c:v>
                </c:pt>
                <c:pt idx="91">
                  <c:v>2.7961</c:v>
                </c:pt>
                <c:pt idx="92">
                  <c:v>2.8092999999999999</c:v>
                </c:pt>
                <c:pt idx="93">
                  <c:v>2.8308</c:v>
                </c:pt>
                <c:pt idx="94">
                  <c:v>2.8043999999999998</c:v>
                </c:pt>
                <c:pt idx="95">
                  <c:v>2.8214999999999999</c:v>
                </c:pt>
                <c:pt idx="96">
                  <c:v>2.8544999999999998</c:v>
                </c:pt>
                <c:pt idx="97">
                  <c:v>2.8218999999999999</c:v>
                </c:pt>
                <c:pt idx="98">
                  <c:v>2.8115999999999999</c:v>
                </c:pt>
                <c:pt idx="99">
                  <c:v>2.7820999999999998</c:v>
                </c:pt>
                <c:pt idx="100">
                  <c:v>2.8102</c:v>
                </c:pt>
                <c:pt idx="101">
                  <c:v>2.8201999999999998</c:v>
                </c:pt>
                <c:pt idx="102">
                  <c:v>2.7805</c:v>
                </c:pt>
                <c:pt idx="103">
                  <c:v>2.7749999999999999</c:v>
                </c:pt>
                <c:pt idx="104">
                  <c:v>2.7551999999999999</c:v>
                </c:pt>
                <c:pt idx="105">
                  <c:v>2.8018000000000001</c:v>
                </c:pt>
                <c:pt idx="106">
                  <c:v>2.7570000000000001</c:v>
                </c:pt>
                <c:pt idx="107">
                  <c:v>2.8056999999999999</c:v>
                </c:pt>
                <c:pt idx="108">
                  <c:v>2.8100999999999998</c:v>
                </c:pt>
                <c:pt idx="109">
                  <c:v>2.8098000000000001</c:v>
                </c:pt>
                <c:pt idx="110">
                  <c:v>2.8332999999999999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E176-3A4C-B3AE-BA48290A915E}"/>
            </c:ext>
          </c:extLst>
        </c:ser>
        <c:ser>
          <c:idx val="7"/>
          <c:order val="3"/>
          <c:tx>
            <c:v> 4.9" Propeller</c:v>
          </c:tx>
          <c:spPr>
            <a:ln w="25400">
              <a:solidFill>
                <a:schemeClr val="accent5">
                  <a:lumMod val="60000"/>
                  <a:lumOff val="40000"/>
                </a:schemeClr>
              </a:solidFill>
            </a:ln>
          </c:spPr>
          <c:marker>
            <c:symbol val="none"/>
          </c:marker>
          <c:xVal>
            <c:numRef>
              <c:f>'Datura Comparison'!$X$4:$X$114</c:f>
              <c:numCache>
                <c:formatCode>General</c:formatCode>
                <c:ptCount val="111"/>
                <c:pt idx="0">
                  <c:v>-1</c:v>
                </c:pt>
                <c:pt idx="1">
                  <c:v>-0.89253700000000002</c:v>
                </c:pt>
                <c:pt idx="2">
                  <c:v>-0.804423</c:v>
                </c:pt>
                <c:pt idx="3">
                  <c:v>-0.71492099999999992</c:v>
                </c:pt>
                <c:pt idx="4">
                  <c:v>-0.62748399999999993</c:v>
                </c:pt>
                <c:pt idx="5">
                  <c:v>-0.53481599999999996</c:v>
                </c:pt>
                <c:pt idx="6">
                  <c:v>-0.44357000000000002</c:v>
                </c:pt>
                <c:pt idx="7">
                  <c:v>-0.35426999999999997</c:v>
                </c:pt>
                <c:pt idx="8">
                  <c:v>-0.26327800000000001</c:v>
                </c:pt>
                <c:pt idx="9">
                  <c:v>-0.17397300000000004</c:v>
                </c:pt>
                <c:pt idx="10">
                  <c:v>-8.2322000000000006E-2</c:v>
                </c:pt>
                <c:pt idx="11">
                  <c:v>1.0677000000000048E-2</c:v>
                </c:pt>
                <c:pt idx="12">
                  <c:v>9.9823999999999913E-2</c:v>
                </c:pt>
                <c:pt idx="13">
                  <c:v>0.19791500000000006</c:v>
                </c:pt>
                <c:pt idx="14">
                  <c:v>0.2857860000000001</c:v>
                </c:pt>
                <c:pt idx="15">
                  <c:v>0.3772359999999999</c:v>
                </c:pt>
                <c:pt idx="16">
                  <c:v>0.48941799999999991</c:v>
                </c:pt>
                <c:pt idx="17">
                  <c:v>0.57959800000000006</c:v>
                </c:pt>
                <c:pt idx="18">
                  <c:v>0.64713500000000002</c:v>
                </c:pt>
                <c:pt idx="19">
                  <c:v>0.74917699999999998</c:v>
                </c:pt>
                <c:pt idx="20">
                  <c:v>0.84198100000000009</c:v>
                </c:pt>
                <c:pt idx="21">
                  <c:v>0.94196300000000011</c:v>
                </c:pt>
                <c:pt idx="22">
                  <c:v>1.0402</c:v>
                </c:pt>
                <c:pt idx="23">
                  <c:v>1.127373</c:v>
                </c:pt>
                <c:pt idx="24">
                  <c:v>1.2166359999999998</c:v>
                </c:pt>
                <c:pt idx="25">
                  <c:v>1.3067440000000001</c:v>
                </c:pt>
                <c:pt idx="26">
                  <c:v>1.3948230000000001</c:v>
                </c:pt>
                <c:pt idx="27">
                  <c:v>1.486313</c:v>
                </c:pt>
                <c:pt idx="28">
                  <c:v>1.575215</c:v>
                </c:pt>
                <c:pt idx="29">
                  <c:v>1.6667450000000001</c:v>
                </c:pt>
                <c:pt idx="30">
                  <c:v>1.7575479999999999</c:v>
                </c:pt>
                <c:pt idx="31">
                  <c:v>1.8490479999999998</c:v>
                </c:pt>
                <c:pt idx="32">
                  <c:v>1.9354960000000001</c:v>
                </c:pt>
                <c:pt idx="33">
                  <c:v>2.029827</c:v>
                </c:pt>
                <c:pt idx="34">
                  <c:v>2.1190600000000002</c:v>
                </c:pt>
                <c:pt idx="35">
                  <c:v>2.2361900000000001</c:v>
                </c:pt>
                <c:pt idx="36">
                  <c:v>2.3303530000000001</c:v>
                </c:pt>
                <c:pt idx="37">
                  <c:v>2.395308</c:v>
                </c:pt>
                <c:pt idx="38">
                  <c:v>2.4922309999999999</c:v>
                </c:pt>
                <c:pt idx="39">
                  <c:v>2.5819329999999998</c:v>
                </c:pt>
                <c:pt idx="40">
                  <c:v>2.674388</c:v>
                </c:pt>
                <c:pt idx="41">
                  <c:v>2.7645819999999999</c:v>
                </c:pt>
                <c:pt idx="42">
                  <c:v>2.8835459999999999</c:v>
                </c:pt>
                <c:pt idx="43">
                  <c:v>2.9736560000000001</c:v>
                </c:pt>
                <c:pt idx="44">
                  <c:v>3.0662430000000001</c:v>
                </c:pt>
                <c:pt idx="45">
                  <c:v>3.1579160000000002</c:v>
                </c:pt>
                <c:pt idx="46">
                  <c:v>3.2244060000000001</c:v>
                </c:pt>
                <c:pt idx="47">
                  <c:v>3.3164879999999997</c:v>
                </c:pt>
                <c:pt idx="48">
                  <c:v>3.41648</c:v>
                </c:pt>
                <c:pt idx="49">
                  <c:v>3.5242370000000003</c:v>
                </c:pt>
                <c:pt idx="50">
                  <c:v>3.6021390000000002</c:v>
                </c:pt>
                <c:pt idx="51">
                  <c:v>3.7069190000000001</c:v>
                </c:pt>
                <c:pt idx="52">
                  <c:v>3.7839700000000001</c:v>
                </c:pt>
                <c:pt idx="53">
                  <c:v>3.8919689999999996</c:v>
                </c:pt>
                <c:pt idx="54">
                  <c:v>3.9687049999999999</c:v>
                </c:pt>
                <c:pt idx="55">
                  <c:v>4.0743010000000002</c:v>
                </c:pt>
                <c:pt idx="56">
                  <c:v>4.1620980000000003</c:v>
                </c:pt>
                <c:pt idx="57">
                  <c:v>4.2508889999999999</c:v>
                </c:pt>
                <c:pt idx="58">
                  <c:v>4.3372510000000002</c:v>
                </c:pt>
                <c:pt idx="59">
                  <c:v>4.4267789999999998</c:v>
                </c:pt>
                <c:pt idx="60">
                  <c:v>4.5136479999999999</c:v>
                </c:pt>
                <c:pt idx="61">
                  <c:v>4.6315350000000004</c:v>
                </c:pt>
                <c:pt idx="62">
                  <c:v>4.7208040000000002</c:v>
                </c:pt>
                <c:pt idx="63">
                  <c:v>4.8098960000000002</c:v>
                </c:pt>
                <c:pt idx="64">
                  <c:v>4.9003310000000004</c:v>
                </c:pt>
                <c:pt idx="65">
                  <c:v>4.9890119999999998</c:v>
                </c:pt>
                <c:pt idx="66">
                  <c:v>5.0786319999999998</c:v>
                </c:pt>
                <c:pt idx="67">
                  <c:v>5.1672560000000001</c:v>
                </c:pt>
                <c:pt idx="68">
                  <c:v>5.257549</c:v>
                </c:pt>
                <c:pt idx="69">
                  <c:v>5.3467130000000003</c:v>
                </c:pt>
                <c:pt idx="70">
                  <c:v>5.4378229999999999</c:v>
                </c:pt>
                <c:pt idx="71">
                  <c:v>5.5263989999999996</c:v>
                </c:pt>
                <c:pt idx="72">
                  <c:v>5.6179779999999999</c:v>
                </c:pt>
                <c:pt idx="73">
                  <c:v>5.7377880000000001</c:v>
                </c:pt>
                <c:pt idx="74">
                  <c:v>5.828964</c:v>
                </c:pt>
                <c:pt idx="75">
                  <c:v>5.9193709999999999</c:v>
                </c:pt>
                <c:pt idx="76">
                  <c:v>6.0136060000000002</c:v>
                </c:pt>
                <c:pt idx="77">
                  <c:v>6.1016940000000002</c:v>
                </c:pt>
                <c:pt idx="78">
                  <c:v>6.1926459999999999</c:v>
                </c:pt>
                <c:pt idx="79">
                  <c:v>6.2901439999999997</c:v>
                </c:pt>
                <c:pt idx="80">
                  <c:v>6.3783209999999997</c:v>
                </c:pt>
                <c:pt idx="81">
                  <c:v>6.4659219999999999</c:v>
                </c:pt>
                <c:pt idx="82">
                  <c:v>6.5417529999999999</c:v>
                </c:pt>
                <c:pt idx="83">
                  <c:v>6.6475160000000004</c:v>
                </c:pt>
                <c:pt idx="84">
                  <c:v>6.751239</c:v>
                </c:pt>
                <c:pt idx="85">
                  <c:v>6.8300869999999998</c:v>
                </c:pt>
                <c:pt idx="86">
                  <c:v>6.9245099999999997</c:v>
                </c:pt>
                <c:pt idx="87">
                  <c:v>7.0005939999999995</c:v>
                </c:pt>
                <c:pt idx="88">
                  <c:v>7.1183189999999996</c:v>
                </c:pt>
                <c:pt idx="89">
                  <c:v>7.2082630000000005</c:v>
                </c:pt>
                <c:pt idx="90">
                  <c:v>7.2991379999999992</c:v>
                </c:pt>
                <c:pt idx="91">
                  <c:v>7.391629</c:v>
                </c:pt>
                <c:pt idx="92">
                  <c:v>7.4810130000000008</c:v>
                </c:pt>
                <c:pt idx="93">
                  <c:v>7.5688209999999998</c:v>
                </c:pt>
                <c:pt idx="94">
                  <c:v>7.6575690000000005</c:v>
                </c:pt>
                <c:pt idx="95">
                  <c:v>7.7468889999999995</c:v>
                </c:pt>
                <c:pt idx="96">
                  <c:v>7.8391359999999999</c:v>
                </c:pt>
                <c:pt idx="97">
                  <c:v>7.9316610000000001</c:v>
                </c:pt>
                <c:pt idx="98">
                  <c:v>8.0222630000000006</c:v>
                </c:pt>
                <c:pt idx="99">
                  <c:v>8.1201030000000003</c:v>
                </c:pt>
                <c:pt idx="100">
                  <c:v>8.2267580000000002</c:v>
                </c:pt>
                <c:pt idx="101">
                  <c:v>8.3048029999999997</c:v>
                </c:pt>
                <c:pt idx="102">
                  <c:v>8.3956149999999994</c:v>
                </c:pt>
                <c:pt idx="103">
                  <c:v>8.4873630000000002</c:v>
                </c:pt>
                <c:pt idx="104">
                  <c:v>8.5788430000000009</c:v>
                </c:pt>
                <c:pt idx="105">
                  <c:v>8.6679980000000008</c:v>
                </c:pt>
                <c:pt idx="106">
                  <c:v>8.7545260000000003</c:v>
                </c:pt>
                <c:pt idx="107">
                  <c:v>8.8437579999999993</c:v>
                </c:pt>
                <c:pt idx="108">
                  <c:v>8.9616989999999994</c:v>
                </c:pt>
                <c:pt idx="109">
                  <c:v>9.0480509999999992</c:v>
                </c:pt>
                <c:pt idx="110">
                  <c:v>9.1368779999999994</c:v>
                </c:pt>
              </c:numCache>
            </c:numRef>
          </c:xVal>
          <c:yVal>
            <c:numRef>
              <c:f>'Datura Comparison'!$V$4:$V$114</c:f>
              <c:numCache>
                <c:formatCode>General</c:formatCode>
                <c:ptCount val="111"/>
                <c:pt idx="0">
                  <c:v>-8.8800000000000004E-2</c:v>
                </c:pt>
                <c:pt idx="1">
                  <c:v>0.94099999999999995</c:v>
                </c:pt>
                <c:pt idx="2">
                  <c:v>1.0620000000000001</c:v>
                </c:pt>
                <c:pt idx="3">
                  <c:v>0.28489999999999999</c:v>
                </c:pt>
                <c:pt idx="4">
                  <c:v>0.1678</c:v>
                </c:pt>
                <c:pt idx="5">
                  <c:v>0.4577</c:v>
                </c:pt>
                <c:pt idx="6">
                  <c:v>0.39140000000000003</c:v>
                </c:pt>
                <c:pt idx="7">
                  <c:v>0.61299999999999999</c:v>
                </c:pt>
                <c:pt idx="8">
                  <c:v>0.78559999999999997</c:v>
                </c:pt>
                <c:pt idx="9">
                  <c:v>1.1938</c:v>
                </c:pt>
                <c:pt idx="10">
                  <c:v>-0.14680000000000001</c:v>
                </c:pt>
                <c:pt idx="11">
                  <c:v>-8.6E-3</c:v>
                </c:pt>
                <c:pt idx="12">
                  <c:v>0.42309999999999998</c:v>
                </c:pt>
                <c:pt idx="13">
                  <c:v>0.49220000000000003</c:v>
                </c:pt>
                <c:pt idx="14">
                  <c:v>1.7299999999999999E-2</c:v>
                </c:pt>
                <c:pt idx="15">
                  <c:v>1.41E-2</c:v>
                </c:pt>
                <c:pt idx="16">
                  <c:v>4.5199999999999997E-2</c:v>
                </c:pt>
                <c:pt idx="17">
                  <c:v>0.40089999999999998</c:v>
                </c:pt>
                <c:pt idx="18">
                  <c:v>1.819</c:v>
                </c:pt>
                <c:pt idx="19">
                  <c:v>3.6852999999999998</c:v>
                </c:pt>
                <c:pt idx="20">
                  <c:v>4.6479999999999997</c:v>
                </c:pt>
                <c:pt idx="21">
                  <c:v>5.2028999999999996</c:v>
                </c:pt>
                <c:pt idx="22">
                  <c:v>5.5311000000000003</c:v>
                </c:pt>
                <c:pt idx="23">
                  <c:v>5.4147999999999996</c:v>
                </c:pt>
                <c:pt idx="24">
                  <c:v>5.5776000000000003</c:v>
                </c:pt>
                <c:pt idx="25">
                  <c:v>5.4096000000000002</c:v>
                </c:pt>
                <c:pt idx="26">
                  <c:v>5.6417999999999999</c:v>
                </c:pt>
                <c:pt idx="27">
                  <c:v>5.2210000000000001</c:v>
                </c:pt>
                <c:pt idx="28">
                  <c:v>5.3513000000000002</c:v>
                </c:pt>
                <c:pt idx="29">
                  <c:v>5.4309000000000003</c:v>
                </c:pt>
                <c:pt idx="30">
                  <c:v>5.5518999999999998</c:v>
                </c:pt>
                <c:pt idx="31">
                  <c:v>5.5247000000000002</c:v>
                </c:pt>
                <c:pt idx="32">
                  <c:v>5.2991999999999999</c:v>
                </c:pt>
                <c:pt idx="33">
                  <c:v>5.4508000000000001</c:v>
                </c:pt>
                <c:pt idx="34">
                  <c:v>5.6139000000000001</c:v>
                </c:pt>
                <c:pt idx="35">
                  <c:v>5.4137000000000004</c:v>
                </c:pt>
                <c:pt idx="36">
                  <c:v>5.2834000000000003</c:v>
                </c:pt>
                <c:pt idx="37">
                  <c:v>5.5831</c:v>
                </c:pt>
                <c:pt idx="38">
                  <c:v>5.3771000000000004</c:v>
                </c:pt>
                <c:pt idx="39">
                  <c:v>5.4673999999999996</c:v>
                </c:pt>
                <c:pt idx="40">
                  <c:v>5.5369999999999999</c:v>
                </c:pt>
                <c:pt idx="41">
                  <c:v>5.1639999999999997</c:v>
                </c:pt>
                <c:pt idx="42">
                  <c:v>5.5770999999999997</c:v>
                </c:pt>
                <c:pt idx="43">
                  <c:v>5.2679</c:v>
                </c:pt>
                <c:pt idx="44">
                  <c:v>5.5644999999999998</c:v>
                </c:pt>
                <c:pt idx="45">
                  <c:v>5.3754999999999997</c:v>
                </c:pt>
                <c:pt idx="46">
                  <c:v>1.2576000000000001</c:v>
                </c:pt>
                <c:pt idx="47">
                  <c:v>1.6355999999999999</c:v>
                </c:pt>
                <c:pt idx="48">
                  <c:v>2.4944999999999999</c:v>
                </c:pt>
                <c:pt idx="49">
                  <c:v>3.4226999999999999</c:v>
                </c:pt>
                <c:pt idx="50">
                  <c:v>3.7261000000000002</c:v>
                </c:pt>
                <c:pt idx="51">
                  <c:v>3.6288</c:v>
                </c:pt>
                <c:pt idx="52">
                  <c:v>3.8195000000000001</c:v>
                </c:pt>
                <c:pt idx="53">
                  <c:v>3.7305999999999999</c:v>
                </c:pt>
                <c:pt idx="54">
                  <c:v>3.8401999999999998</c:v>
                </c:pt>
                <c:pt idx="55">
                  <c:v>3.8041999999999998</c:v>
                </c:pt>
                <c:pt idx="56">
                  <c:v>3.7968000000000002</c:v>
                </c:pt>
                <c:pt idx="57">
                  <c:v>3.7566000000000002</c:v>
                </c:pt>
                <c:pt idx="58">
                  <c:v>3.8029999999999999</c:v>
                </c:pt>
                <c:pt idx="59">
                  <c:v>3.7890999999999999</c:v>
                </c:pt>
                <c:pt idx="60">
                  <c:v>3.6585000000000001</c:v>
                </c:pt>
                <c:pt idx="61">
                  <c:v>3.8121999999999998</c:v>
                </c:pt>
                <c:pt idx="62">
                  <c:v>3.7357999999999998</c:v>
                </c:pt>
                <c:pt idx="63">
                  <c:v>3.7014999999999998</c:v>
                </c:pt>
                <c:pt idx="64">
                  <c:v>3.8007</c:v>
                </c:pt>
                <c:pt idx="65">
                  <c:v>3.7313000000000001</c:v>
                </c:pt>
                <c:pt idx="66">
                  <c:v>3.8940000000000001</c:v>
                </c:pt>
                <c:pt idx="67">
                  <c:v>3.8128000000000002</c:v>
                </c:pt>
                <c:pt idx="68">
                  <c:v>3.8157000000000001</c:v>
                </c:pt>
                <c:pt idx="69">
                  <c:v>3.7502</c:v>
                </c:pt>
                <c:pt idx="70">
                  <c:v>3.6869000000000001</c:v>
                </c:pt>
                <c:pt idx="71">
                  <c:v>3.746</c:v>
                </c:pt>
                <c:pt idx="72">
                  <c:v>3.8193000000000001</c:v>
                </c:pt>
                <c:pt idx="73">
                  <c:v>3.7383999999999999</c:v>
                </c:pt>
                <c:pt idx="74">
                  <c:v>3.8046000000000002</c:v>
                </c:pt>
                <c:pt idx="75">
                  <c:v>3.7473000000000001</c:v>
                </c:pt>
                <c:pt idx="76">
                  <c:v>3.8346</c:v>
                </c:pt>
                <c:pt idx="77">
                  <c:v>3.8879999999999999</c:v>
                </c:pt>
                <c:pt idx="78">
                  <c:v>3.6387</c:v>
                </c:pt>
                <c:pt idx="79">
                  <c:v>1.5948</c:v>
                </c:pt>
                <c:pt idx="80">
                  <c:v>1.7816000000000001</c:v>
                </c:pt>
                <c:pt idx="81">
                  <c:v>2.2799999999999998</c:v>
                </c:pt>
                <c:pt idx="82">
                  <c:v>2.7079</c:v>
                </c:pt>
                <c:pt idx="83">
                  <c:v>2.7778999999999998</c:v>
                </c:pt>
                <c:pt idx="84">
                  <c:v>2.8834</c:v>
                </c:pt>
                <c:pt idx="85">
                  <c:v>2.8637999999999999</c:v>
                </c:pt>
                <c:pt idx="86">
                  <c:v>2.8462999999999998</c:v>
                </c:pt>
                <c:pt idx="87">
                  <c:v>2.871</c:v>
                </c:pt>
                <c:pt idx="88">
                  <c:v>2.8494000000000002</c:v>
                </c:pt>
                <c:pt idx="89">
                  <c:v>2.8273999999999999</c:v>
                </c:pt>
                <c:pt idx="90">
                  <c:v>2.8748999999999998</c:v>
                </c:pt>
                <c:pt idx="91">
                  <c:v>2.8698000000000001</c:v>
                </c:pt>
                <c:pt idx="92">
                  <c:v>2.8849999999999998</c:v>
                </c:pt>
                <c:pt idx="93">
                  <c:v>2.8908999999999998</c:v>
                </c:pt>
                <c:pt idx="94">
                  <c:v>2.8883999999999999</c:v>
                </c:pt>
                <c:pt idx="95">
                  <c:v>2.8784999999999998</c:v>
                </c:pt>
                <c:pt idx="96">
                  <c:v>2.8871000000000002</c:v>
                </c:pt>
                <c:pt idx="97">
                  <c:v>2.8902999999999999</c:v>
                </c:pt>
                <c:pt idx="98">
                  <c:v>2.8967999999999998</c:v>
                </c:pt>
                <c:pt idx="99">
                  <c:v>2.8855</c:v>
                </c:pt>
                <c:pt idx="100">
                  <c:v>2.8814000000000002</c:v>
                </c:pt>
                <c:pt idx="101">
                  <c:v>2.8826999999999998</c:v>
                </c:pt>
                <c:pt idx="102">
                  <c:v>2.8411</c:v>
                </c:pt>
                <c:pt idx="103">
                  <c:v>2.8561999999999999</c:v>
                </c:pt>
                <c:pt idx="104">
                  <c:v>2.8563999999999998</c:v>
                </c:pt>
                <c:pt idx="105">
                  <c:v>2.8492000000000002</c:v>
                </c:pt>
                <c:pt idx="106">
                  <c:v>2.8411</c:v>
                </c:pt>
                <c:pt idx="107">
                  <c:v>2.8317000000000001</c:v>
                </c:pt>
                <c:pt idx="108">
                  <c:v>2.8610000000000002</c:v>
                </c:pt>
                <c:pt idx="109">
                  <c:v>2.8536999999999999</c:v>
                </c:pt>
                <c:pt idx="110">
                  <c:v>2.8653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E176-3A4C-B3AE-BA48290A91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2997247"/>
        <c:axId val="726930687"/>
      </c:scatterChart>
      <c:valAx>
        <c:axId val="762997247"/>
        <c:scaling>
          <c:orientation val="minMax"/>
          <c:max val="9"/>
          <c:min val="0"/>
        </c:scaling>
        <c:delete val="0"/>
        <c:axPos val="b"/>
        <c:majorGridlines>
          <c:spPr>
            <a:ln w="9525" cap="flat" cmpd="sng" algn="ctr">
              <a:solidFill>
                <a:schemeClr val="bg2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300" b="0" i="0" u="none" strike="noStrike" kern="1200" baseline="0">
                    <a:solidFill>
                      <a:schemeClr val="tx1"/>
                    </a:solidFill>
                    <a:latin typeface="NewComputerModern10" pitchFamily="2" charset="77"/>
                    <a:ea typeface="+mn-ea"/>
                    <a:cs typeface="+mn-cs"/>
                  </a:defRPr>
                </a:pPr>
                <a:r>
                  <a:rPr lang="en-US" sz="1300" b="0" i="0">
                    <a:solidFill>
                      <a:schemeClr val="tx1"/>
                    </a:solidFill>
                    <a:latin typeface="NewComputerModern10" pitchFamily="2" charset="77"/>
                  </a:rPr>
                  <a:t>Time [s]</a:t>
                </a:r>
              </a:p>
            </c:rich>
          </c:tx>
          <c:layout>
            <c:manualLayout>
              <c:xMode val="edge"/>
              <c:yMode val="edge"/>
              <c:x val="0.43627642446441267"/>
              <c:y val="0.84527796399372179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NewComputerModern10" pitchFamily="2" charset="77"/>
                <a:ea typeface="+mn-ea"/>
                <a:cs typeface="+mn-cs"/>
              </a:defRPr>
            </a:pPr>
            <a:endParaRPr lang="en-US"/>
          </a:p>
        </c:txPr>
        <c:crossAx val="726930687"/>
        <c:crosses val="autoZero"/>
        <c:crossBetween val="midCat"/>
        <c:majorUnit val="1"/>
      </c:valAx>
      <c:valAx>
        <c:axId val="726930687"/>
        <c:scaling>
          <c:orientation val="minMax"/>
          <c:max val="6"/>
          <c:min val="0"/>
        </c:scaling>
        <c:delete val="0"/>
        <c:axPos val="l"/>
        <c:majorGridlines>
          <c:spPr>
            <a:ln w="9525" cap="flat" cmpd="sng" algn="ctr">
              <a:solidFill>
                <a:schemeClr val="bg2">
                  <a:lumMod val="9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300" b="0" i="0" u="none" strike="noStrike" kern="1200" baseline="0">
                    <a:solidFill>
                      <a:schemeClr val="tx1"/>
                    </a:solidFill>
                    <a:latin typeface="NewComputerModern10" pitchFamily="2" charset="77"/>
                    <a:ea typeface="+mn-ea"/>
                    <a:cs typeface="+mn-cs"/>
                  </a:defRPr>
                </a:pPr>
                <a:r>
                  <a:rPr lang="en-US" sz="1300" b="0" i="0">
                    <a:solidFill>
                      <a:schemeClr val="tx1"/>
                    </a:solidFill>
                    <a:latin typeface="NewComputerModern10" pitchFamily="2" charset="77"/>
                  </a:rPr>
                  <a:t>Efficiency [g/W]</a:t>
                </a:r>
              </a:p>
            </c:rich>
          </c:tx>
          <c:layout>
            <c:manualLayout>
              <c:xMode val="edge"/>
              <c:yMode val="edge"/>
              <c:x val="8.5678396054375355E-2"/>
              <c:y val="0.26550410309283451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NewComputerModern10" pitchFamily="2" charset="77"/>
                <a:ea typeface="+mn-ea"/>
                <a:cs typeface="+mn-cs"/>
              </a:defRPr>
            </a:pPr>
            <a:endParaRPr lang="en-US"/>
          </a:p>
        </c:txPr>
        <c:crossAx val="762997247"/>
        <c:crosses val="autoZero"/>
        <c:crossBetween val="midCat"/>
        <c:majorUnit val="1"/>
      </c:valAx>
    </c:plotArea>
    <c:legend>
      <c:legendPos val="r"/>
      <c:layout>
        <c:manualLayout>
          <c:xMode val="edge"/>
          <c:yMode val="edge"/>
          <c:x val="0.61586115289256249"/>
          <c:y val="5.1102589634051426E-2"/>
          <c:w val="0.15515645989202201"/>
          <c:h val="0.25138697745899108"/>
        </c:manualLayout>
      </c:layout>
      <c:overlay val="0"/>
      <c:txPr>
        <a:bodyPr/>
        <a:lstStyle/>
        <a:p>
          <a:pPr>
            <a:defRPr b="0" i="0">
              <a:latin typeface="NewComputerModern10" pitchFamily="2" charset="77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6977080514631609"/>
          <c:y val="4.0728763072419925E-2"/>
          <c:w val="0.60798240524355562"/>
          <c:h val="0.73915064663638197"/>
        </c:manualLayout>
      </c:layout>
      <c:scatterChart>
        <c:scatterStyle val="lineMarker"/>
        <c:varyColors val="0"/>
        <c:ser>
          <c:idx val="0"/>
          <c:order val="0"/>
          <c:tx>
            <c:v> Datura 2.5" Propeller</c:v>
          </c:tx>
          <c:spPr>
            <a:ln w="25400">
              <a:solidFill>
                <a:schemeClr val="accent3">
                  <a:lumMod val="60000"/>
                  <a:lumOff val="40000"/>
                </a:schemeClr>
              </a:solidFill>
            </a:ln>
          </c:spPr>
          <c:marker>
            <c:symbol val="none"/>
          </c:marker>
          <c:xVal>
            <c:numRef>
              <c:f>'Motor Comparison'!$F$4:$F$114</c:f>
              <c:numCache>
                <c:formatCode>General</c:formatCode>
                <c:ptCount val="111"/>
                <c:pt idx="0">
                  <c:v>-1</c:v>
                </c:pt>
                <c:pt idx="1">
                  <c:v>-0.90443899999999999</c:v>
                </c:pt>
                <c:pt idx="2">
                  <c:v>-0.84075500000000003</c:v>
                </c:pt>
                <c:pt idx="3">
                  <c:v>-0.731904</c:v>
                </c:pt>
                <c:pt idx="4">
                  <c:v>-0.65226800000000007</c:v>
                </c:pt>
                <c:pt idx="5">
                  <c:v>-0.54210999999999998</c:v>
                </c:pt>
                <c:pt idx="6">
                  <c:v>-0.46154499999999998</c:v>
                </c:pt>
                <c:pt idx="7">
                  <c:v>-0.35063299999999997</c:v>
                </c:pt>
                <c:pt idx="8">
                  <c:v>-0.26983599999999996</c:v>
                </c:pt>
                <c:pt idx="9">
                  <c:v>-0.16041399999999995</c:v>
                </c:pt>
                <c:pt idx="10">
                  <c:v>-8.0331999999999959E-2</c:v>
                </c:pt>
                <c:pt idx="11">
                  <c:v>2.9115000000000002E-2</c:v>
                </c:pt>
                <c:pt idx="12">
                  <c:v>0.10937100000000011</c:v>
                </c:pt>
                <c:pt idx="13">
                  <c:v>0.18117800000000006</c:v>
                </c:pt>
                <c:pt idx="14">
                  <c:v>0.29073700000000002</c:v>
                </c:pt>
                <c:pt idx="15">
                  <c:v>0.37094099999999997</c:v>
                </c:pt>
                <c:pt idx="16">
                  <c:v>0.4502790000000001</c:v>
                </c:pt>
                <c:pt idx="17">
                  <c:v>0.5611870000000001</c:v>
                </c:pt>
                <c:pt idx="18">
                  <c:v>0.65108900000000003</c:v>
                </c:pt>
                <c:pt idx="19">
                  <c:v>0.73842099999999999</c:v>
                </c:pt>
                <c:pt idx="20">
                  <c:v>0.85666200000000003</c:v>
                </c:pt>
                <c:pt idx="21">
                  <c:v>0.93431099999999989</c:v>
                </c:pt>
                <c:pt idx="22">
                  <c:v>1.0418790000000002</c:v>
                </c:pt>
                <c:pt idx="23">
                  <c:v>1.1204339999999999</c:v>
                </c:pt>
                <c:pt idx="24">
                  <c:v>1.1820200000000001</c:v>
                </c:pt>
                <c:pt idx="25">
                  <c:v>1.2882180000000001</c:v>
                </c:pt>
                <c:pt idx="26">
                  <c:v>1.3889149999999999</c:v>
                </c:pt>
                <c:pt idx="27">
                  <c:v>1.4946250000000001</c:v>
                </c:pt>
                <c:pt idx="28">
                  <c:v>1.5720519999999998</c:v>
                </c:pt>
                <c:pt idx="29">
                  <c:v>1.6778379999999999</c:v>
                </c:pt>
                <c:pt idx="30">
                  <c:v>1.75597</c:v>
                </c:pt>
                <c:pt idx="31">
                  <c:v>1.8639329999999998</c:v>
                </c:pt>
                <c:pt idx="32">
                  <c:v>1.9426160000000001</c:v>
                </c:pt>
                <c:pt idx="33">
                  <c:v>2.0506039999999999</c:v>
                </c:pt>
                <c:pt idx="34">
                  <c:v>2.129448</c:v>
                </c:pt>
                <c:pt idx="35">
                  <c:v>2.2363</c:v>
                </c:pt>
                <c:pt idx="36">
                  <c:v>2.3143379999999998</c:v>
                </c:pt>
                <c:pt idx="37">
                  <c:v>2.4040349999999999</c:v>
                </c:pt>
                <c:pt idx="38">
                  <c:v>2.4826549999999998</c:v>
                </c:pt>
                <c:pt idx="39">
                  <c:v>2.5913750000000002</c:v>
                </c:pt>
                <c:pt idx="40">
                  <c:v>2.6702870000000001</c:v>
                </c:pt>
                <c:pt idx="41">
                  <c:v>2.7790020000000002</c:v>
                </c:pt>
                <c:pt idx="42">
                  <c:v>2.8576510000000002</c:v>
                </c:pt>
                <c:pt idx="43">
                  <c:v>2.9641120000000001</c:v>
                </c:pt>
                <c:pt idx="44">
                  <c:v>3.042052</c:v>
                </c:pt>
                <c:pt idx="45">
                  <c:v>3.1500620000000001</c:v>
                </c:pt>
                <c:pt idx="46">
                  <c:v>3.2364509999999997</c:v>
                </c:pt>
                <c:pt idx="47">
                  <c:v>3.3435560000000004</c:v>
                </c:pt>
                <c:pt idx="48">
                  <c:v>3.4327949999999996</c:v>
                </c:pt>
                <c:pt idx="49">
                  <c:v>3.4985879999999998</c:v>
                </c:pt>
                <c:pt idx="50">
                  <c:v>3.6166989999999997</c:v>
                </c:pt>
                <c:pt idx="51">
                  <c:v>3.7054020000000003</c:v>
                </c:pt>
                <c:pt idx="52">
                  <c:v>3.7683400000000002</c:v>
                </c:pt>
                <c:pt idx="53">
                  <c:v>3.8750859999999996</c:v>
                </c:pt>
                <c:pt idx="54">
                  <c:v>3.951708</c:v>
                </c:pt>
                <c:pt idx="55">
                  <c:v>4.05722</c:v>
                </c:pt>
                <c:pt idx="56">
                  <c:v>4.1339930000000003</c:v>
                </c:pt>
                <c:pt idx="57">
                  <c:v>4.2417020000000001</c:v>
                </c:pt>
                <c:pt idx="58">
                  <c:v>4.319178</c:v>
                </c:pt>
                <c:pt idx="59">
                  <c:v>4.4245190000000001</c:v>
                </c:pt>
                <c:pt idx="60">
                  <c:v>4.5010640000000004</c:v>
                </c:pt>
                <c:pt idx="61">
                  <c:v>4.6084329999999998</c:v>
                </c:pt>
                <c:pt idx="62">
                  <c:v>4.6851289999999999</c:v>
                </c:pt>
                <c:pt idx="63">
                  <c:v>4.7911260000000002</c:v>
                </c:pt>
                <c:pt idx="64">
                  <c:v>4.8679990000000002</c:v>
                </c:pt>
                <c:pt idx="65">
                  <c:v>4.9731880000000004</c:v>
                </c:pt>
                <c:pt idx="66">
                  <c:v>5.0732499999999998</c:v>
                </c:pt>
                <c:pt idx="67">
                  <c:v>5.1789870000000002</c:v>
                </c:pt>
                <c:pt idx="68">
                  <c:v>5.2563370000000003</c:v>
                </c:pt>
                <c:pt idx="69">
                  <c:v>5.3616609999999998</c:v>
                </c:pt>
                <c:pt idx="70">
                  <c:v>5.438466</c:v>
                </c:pt>
                <c:pt idx="71">
                  <c:v>5.544003</c:v>
                </c:pt>
                <c:pt idx="72">
                  <c:v>5.6209100000000003</c:v>
                </c:pt>
                <c:pt idx="73">
                  <c:v>5.7260429999999998</c:v>
                </c:pt>
                <c:pt idx="74">
                  <c:v>5.8025599999999997</c:v>
                </c:pt>
                <c:pt idx="75">
                  <c:v>5.9080300000000001</c:v>
                </c:pt>
                <c:pt idx="76">
                  <c:v>5.984375</c:v>
                </c:pt>
                <c:pt idx="77">
                  <c:v>6.0907830000000001</c:v>
                </c:pt>
                <c:pt idx="78">
                  <c:v>6.1689910000000001</c:v>
                </c:pt>
                <c:pt idx="79">
                  <c:v>6.2861750000000001</c:v>
                </c:pt>
                <c:pt idx="80">
                  <c:v>6.3643729999999996</c:v>
                </c:pt>
                <c:pt idx="81">
                  <c:v>6.4410600000000002</c:v>
                </c:pt>
                <c:pt idx="82">
                  <c:v>6.5488049999999998</c:v>
                </c:pt>
                <c:pt idx="83">
                  <c:v>6.6386139999999996</c:v>
                </c:pt>
                <c:pt idx="84">
                  <c:v>6.7460760000000004</c:v>
                </c:pt>
                <c:pt idx="85">
                  <c:v>6.8238519999999996</c:v>
                </c:pt>
                <c:pt idx="86">
                  <c:v>6.932436</c:v>
                </c:pt>
                <c:pt idx="87">
                  <c:v>7.0101990000000001</c:v>
                </c:pt>
                <c:pt idx="88">
                  <c:v>7.1161239999999992</c:v>
                </c:pt>
                <c:pt idx="89">
                  <c:v>7.1929390000000009</c:v>
                </c:pt>
                <c:pt idx="90">
                  <c:v>7.2992519999999992</c:v>
                </c:pt>
                <c:pt idx="91">
                  <c:v>7.3766130000000008</c:v>
                </c:pt>
                <c:pt idx="92">
                  <c:v>7.4825289999999995</c:v>
                </c:pt>
                <c:pt idx="93">
                  <c:v>7.5598310000000009</c:v>
                </c:pt>
                <c:pt idx="94">
                  <c:v>7.6658159999999995</c:v>
                </c:pt>
                <c:pt idx="95">
                  <c:v>7.7434639999999995</c:v>
                </c:pt>
                <c:pt idx="96">
                  <c:v>7.8518720000000002</c:v>
                </c:pt>
                <c:pt idx="97">
                  <c:v>7.9300800000000002</c:v>
                </c:pt>
                <c:pt idx="98">
                  <c:v>8.0362720000000003</c:v>
                </c:pt>
                <c:pt idx="99">
                  <c:v>8.1133690000000005</c:v>
                </c:pt>
                <c:pt idx="100">
                  <c:v>8.2009620000000005</c:v>
                </c:pt>
                <c:pt idx="101">
                  <c:v>8.2779419999999995</c:v>
                </c:pt>
                <c:pt idx="102">
                  <c:v>8.3836510000000004</c:v>
                </c:pt>
                <c:pt idx="103">
                  <c:v>8.4604520000000001</c:v>
                </c:pt>
                <c:pt idx="104">
                  <c:v>8.5670780000000004</c:v>
                </c:pt>
                <c:pt idx="105">
                  <c:v>8.6443250000000003</c:v>
                </c:pt>
                <c:pt idx="106">
                  <c:v>8.7507439999999992</c:v>
                </c:pt>
                <c:pt idx="107">
                  <c:v>8.8274019999999993</c:v>
                </c:pt>
                <c:pt idx="108">
                  <c:v>8.9330879999999997</c:v>
                </c:pt>
                <c:pt idx="109">
                  <c:v>9.0342579999999995</c:v>
                </c:pt>
                <c:pt idx="110">
                  <c:v>9.1403669999999995</c:v>
                </c:pt>
              </c:numCache>
            </c:numRef>
          </c:xVal>
          <c:yVal>
            <c:numRef>
              <c:f>'Motor Comparison'!$C$4:$C$114</c:f>
              <c:numCache>
                <c:formatCode>General</c:formatCode>
                <c:ptCount val="111"/>
                <c:pt idx="0">
                  <c:v>7.3999999999999996E-2</c:v>
                </c:pt>
                <c:pt idx="1">
                  <c:v>5.0999999999999997E-2</c:v>
                </c:pt>
                <c:pt idx="2">
                  <c:v>6.3E-2</c:v>
                </c:pt>
                <c:pt idx="3">
                  <c:v>7.8E-2</c:v>
                </c:pt>
                <c:pt idx="4">
                  <c:v>3.5999999999999997E-2</c:v>
                </c:pt>
                <c:pt idx="5">
                  <c:v>1.4999999999999999E-2</c:v>
                </c:pt>
                <c:pt idx="6">
                  <c:v>-1.7000000000000001E-2</c:v>
                </c:pt>
                <c:pt idx="7">
                  <c:v>-4.4999999999999998E-2</c:v>
                </c:pt>
                <c:pt idx="8">
                  <c:v>-4.4999999999999998E-2</c:v>
                </c:pt>
                <c:pt idx="9">
                  <c:v>-3.3000000000000002E-2</c:v>
                </c:pt>
                <c:pt idx="10">
                  <c:v>-8.9999999999999993E-3</c:v>
                </c:pt>
                <c:pt idx="11">
                  <c:v>-3.2000000000000001E-2</c:v>
                </c:pt>
                <c:pt idx="12">
                  <c:v>-2.3E-2</c:v>
                </c:pt>
                <c:pt idx="13">
                  <c:v>0.01</c:v>
                </c:pt>
                <c:pt idx="14">
                  <c:v>3.9E-2</c:v>
                </c:pt>
                <c:pt idx="15">
                  <c:v>4.8000000000000001E-2</c:v>
                </c:pt>
                <c:pt idx="16">
                  <c:v>1.0580000000000001</c:v>
                </c:pt>
                <c:pt idx="17">
                  <c:v>6.5140000000000002</c:v>
                </c:pt>
                <c:pt idx="18">
                  <c:v>11.363</c:v>
                </c:pt>
                <c:pt idx="19">
                  <c:v>12.065</c:v>
                </c:pt>
                <c:pt idx="20">
                  <c:v>11.968999999999999</c:v>
                </c:pt>
                <c:pt idx="21">
                  <c:v>11.842000000000001</c:v>
                </c:pt>
                <c:pt idx="22">
                  <c:v>11.768000000000001</c:v>
                </c:pt>
                <c:pt idx="23">
                  <c:v>11.763</c:v>
                </c:pt>
                <c:pt idx="24">
                  <c:v>11.836</c:v>
                </c:pt>
                <c:pt idx="25">
                  <c:v>11.781000000000001</c:v>
                </c:pt>
                <c:pt idx="26">
                  <c:v>11.794</c:v>
                </c:pt>
                <c:pt idx="27">
                  <c:v>11.816000000000001</c:v>
                </c:pt>
                <c:pt idx="28">
                  <c:v>11.705</c:v>
                </c:pt>
                <c:pt idx="29">
                  <c:v>11.775</c:v>
                </c:pt>
                <c:pt idx="30">
                  <c:v>11.736000000000001</c:v>
                </c:pt>
                <c:pt idx="31">
                  <c:v>11.676</c:v>
                </c:pt>
                <c:pt idx="32">
                  <c:v>11.632999999999999</c:v>
                </c:pt>
                <c:pt idx="33">
                  <c:v>11.664999999999999</c:v>
                </c:pt>
                <c:pt idx="34">
                  <c:v>11.695</c:v>
                </c:pt>
                <c:pt idx="35">
                  <c:v>11.682</c:v>
                </c:pt>
                <c:pt idx="36">
                  <c:v>11.685</c:v>
                </c:pt>
                <c:pt idx="37">
                  <c:v>11.679</c:v>
                </c:pt>
                <c:pt idx="38">
                  <c:v>11.669</c:v>
                </c:pt>
                <c:pt idx="39">
                  <c:v>11.646000000000001</c:v>
                </c:pt>
                <c:pt idx="40">
                  <c:v>11.683</c:v>
                </c:pt>
                <c:pt idx="41">
                  <c:v>11.744</c:v>
                </c:pt>
                <c:pt idx="42">
                  <c:v>11.797000000000001</c:v>
                </c:pt>
                <c:pt idx="43">
                  <c:v>11.824</c:v>
                </c:pt>
                <c:pt idx="44">
                  <c:v>11.71</c:v>
                </c:pt>
                <c:pt idx="45">
                  <c:v>11.724</c:v>
                </c:pt>
                <c:pt idx="46">
                  <c:v>11.712999999999999</c:v>
                </c:pt>
                <c:pt idx="47">
                  <c:v>12.08</c:v>
                </c:pt>
                <c:pt idx="48">
                  <c:v>19.178000000000001</c:v>
                </c:pt>
                <c:pt idx="49">
                  <c:v>31.869</c:v>
                </c:pt>
                <c:pt idx="50">
                  <c:v>35.777999999999999</c:v>
                </c:pt>
                <c:pt idx="51">
                  <c:v>36.090000000000003</c:v>
                </c:pt>
                <c:pt idx="52">
                  <c:v>36.012</c:v>
                </c:pt>
                <c:pt idx="53">
                  <c:v>36.069000000000003</c:v>
                </c:pt>
                <c:pt idx="54">
                  <c:v>36.012</c:v>
                </c:pt>
                <c:pt idx="55">
                  <c:v>35.896999999999998</c:v>
                </c:pt>
                <c:pt idx="56">
                  <c:v>35.841999999999999</c:v>
                </c:pt>
                <c:pt idx="57">
                  <c:v>36.024999999999999</c:v>
                </c:pt>
                <c:pt idx="58">
                  <c:v>36.033999999999999</c:v>
                </c:pt>
                <c:pt idx="59">
                  <c:v>35.918999999999997</c:v>
                </c:pt>
                <c:pt idx="60">
                  <c:v>35.966000000000001</c:v>
                </c:pt>
                <c:pt idx="61">
                  <c:v>35.924999999999997</c:v>
                </c:pt>
                <c:pt idx="62">
                  <c:v>35.938000000000002</c:v>
                </c:pt>
                <c:pt idx="63">
                  <c:v>35.96</c:v>
                </c:pt>
                <c:pt idx="64">
                  <c:v>35.912999999999997</c:v>
                </c:pt>
                <c:pt idx="65">
                  <c:v>35.926000000000002</c:v>
                </c:pt>
                <c:pt idx="66">
                  <c:v>35.905999999999999</c:v>
                </c:pt>
                <c:pt idx="67">
                  <c:v>35.866</c:v>
                </c:pt>
                <c:pt idx="68">
                  <c:v>35.768000000000001</c:v>
                </c:pt>
                <c:pt idx="69">
                  <c:v>35.911999999999999</c:v>
                </c:pt>
                <c:pt idx="70">
                  <c:v>35.798999999999999</c:v>
                </c:pt>
                <c:pt idx="71">
                  <c:v>35.718000000000004</c:v>
                </c:pt>
                <c:pt idx="72">
                  <c:v>35.776000000000003</c:v>
                </c:pt>
                <c:pt idx="73">
                  <c:v>35.703000000000003</c:v>
                </c:pt>
                <c:pt idx="74">
                  <c:v>35.634999999999998</c:v>
                </c:pt>
                <c:pt idx="75">
                  <c:v>35.667000000000002</c:v>
                </c:pt>
                <c:pt idx="76">
                  <c:v>35.820999999999998</c:v>
                </c:pt>
                <c:pt idx="77">
                  <c:v>35.792999999999999</c:v>
                </c:pt>
                <c:pt idx="78">
                  <c:v>35.880000000000003</c:v>
                </c:pt>
                <c:pt idx="79">
                  <c:v>35.835000000000001</c:v>
                </c:pt>
                <c:pt idx="80">
                  <c:v>36.411000000000001</c:v>
                </c:pt>
                <c:pt idx="81">
                  <c:v>46.689</c:v>
                </c:pt>
                <c:pt idx="82">
                  <c:v>63.956000000000003</c:v>
                </c:pt>
                <c:pt idx="83">
                  <c:v>68.370999999999995</c:v>
                </c:pt>
                <c:pt idx="84">
                  <c:v>68.5</c:v>
                </c:pt>
                <c:pt idx="85">
                  <c:v>68.48</c:v>
                </c:pt>
                <c:pt idx="86">
                  <c:v>68.179000000000002</c:v>
                </c:pt>
                <c:pt idx="87">
                  <c:v>68.224000000000004</c:v>
                </c:pt>
                <c:pt idx="88">
                  <c:v>68.262</c:v>
                </c:pt>
                <c:pt idx="89">
                  <c:v>68.123000000000005</c:v>
                </c:pt>
                <c:pt idx="90">
                  <c:v>68.06</c:v>
                </c:pt>
                <c:pt idx="91">
                  <c:v>67.933999999999997</c:v>
                </c:pt>
                <c:pt idx="92">
                  <c:v>67.798000000000002</c:v>
                </c:pt>
                <c:pt idx="93">
                  <c:v>67.828000000000003</c:v>
                </c:pt>
                <c:pt idx="94">
                  <c:v>67.775000000000006</c:v>
                </c:pt>
                <c:pt idx="95">
                  <c:v>67.972999999999999</c:v>
                </c:pt>
                <c:pt idx="96">
                  <c:v>68.052999999999997</c:v>
                </c:pt>
                <c:pt idx="97">
                  <c:v>68.137</c:v>
                </c:pt>
                <c:pt idx="98">
                  <c:v>68.183999999999997</c:v>
                </c:pt>
                <c:pt idx="99">
                  <c:v>68.319000000000003</c:v>
                </c:pt>
                <c:pt idx="100">
                  <c:v>68.203000000000003</c:v>
                </c:pt>
                <c:pt idx="101">
                  <c:v>68.143000000000001</c:v>
                </c:pt>
                <c:pt idx="102">
                  <c:v>67.986000000000004</c:v>
                </c:pt>
                <c:pt idx="103">
                  <c:v>67.849000000000004</c:v>
                </c:pt>
                <c:pt idx="104">
                  <c:v>68.084000000000003</c:v>
                </c:pt>
                <c:pt idx="105">
                  <c:v>68.13</c:v>
                </c:pt>
                <c:pt idx="106">
                  <c:v>67.998999999999995</c:v>
                </c:pt>
                <c:pt idx="107">
                  <c:v>67.888999999999996</c:v>
                </c:pt>
                <c:pt idx="108">
                  <c:v>68.007000000000005</c:v>
                </c:pt>
                <c:pt idx="109">
                  <c:v>67.837000000000003</c:v>
                </c:pt>
                <c:pt idx="110">
                  <c:v>67.936999999999998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BD7-194A-BA19-7D1517FB0EFE}"/>
            </c:ext>
          </c:extLst>
        </c:ser>
        <c:ser>
          <c:idx val="5"/>
          <c:order val="1"/>
          <c:tx>
            <c:v> Datura 3" Propeller</c:v>
          </c:tx>
          <c:spPr>
            <a:ln w="25400">
              <a:solidFill>
                <a:schemeClr val="accent5">
                  <a:lumMod val="60000"/>
                  <a:lumOff val="40000"/>
                </a:schemeClr>
              </a:solidFill>
            </a:ln>
          </c:spPr>
          <c:marker>
            <c:symbol val="none"/>
          </c:marker>
          <c:xVal>
            <c:numRef>
              <c:f>'Motor Comparison'!$L$4:$L$114</c:f>
              <c:numCache>
                <c:formatCode>General</c:formatCode>
                <c:ptCount val="111"/>
                <c:pt idx="0">
                  <c:v>-1</c:v>
                </c:pt>
                <c:pt idx="1">
                  <c:v>-0.93384100000000003</c:v>
                </c:pt>
                <c:pt idx="2">
                  <c:v>-0.82036200000000004</c:v>
                </c:pt>
                <c:pt idx="3">
                  <c:v>-0.74048099999999994</c:v>
                </c:pt>
                <c:pt idx="4">
                  <c:v>-0.58836200000000005</c:v>
                </c:pt>
                <c:pt idx="5">
                  <c:v>-0.47752600000000001</c:v>
                </c:pt>
                <c:pt idx="6">
                  <c:v>-0.39816099999999999</c:v>
                </c:pt>
                <c:pt idx="7">
                  <c:v>-0.333731</c:v>
                </c:pt>
                <c:pt idx="8">
                  <c:v>-0.222557</c:v>
                </c:pt>
                <c:pt idx="9">
                  <c:v>-0.14262600000000003</c:v>
                </c:pt>
                <c:pt idx="10">
                  <c:v>-7.8313999999999995E-2</c:v>
                </c:pt>
                <c:pt idx="11">
                  <c:v>1.4739999999999975E-2</c:v>
                </c:pt>
                <c:pt idx="12">
                  <c:v>0.11880000000000002</c:v>
                </c:pt>
                <c:pt idx="13">
                  <c:v>0.19204500000000002</c:v>
                </c:pt>
                <c:pt idx="14">
                  <c:v>0.30304200000000003</c:v>
                </c:pt>
                <c:pt idx="15">
                  <c:v>0.38240500000000011</c:v>
                </c:pt>
                <c:pt idx="16">
                  <c:v>0.44741699999999995</c:v>
                </c:pt>
                <c:pt idx="17">
                  <c:v>0.57223599999999997</c:v>
                </c:pt>
                <c:pt idx="18">
                  <c:v>0.65201200000000004</c:v>
                </c:pt>
                <c:pt idx="19">
                  <c:v>0.72675000000000001</c:v>
                </c:pt>
                <c:pt idx="20">
                  <c:v>0.8473170000000001</c:v>
                </c:pt>
                <c:pt idx="21">
                  <c:v>0.92535499999999993</c:v>
                </c:pt>
                <c:pt idx="22">
                  <c:v>1.014815</c:v>
                </c:pt>
                <c:pt idx="23">
                  <c:v>1.0925210000000001</c:v>
                </c:pt>
                <c:pt idx="24">
                  <c:v>1.2011599999999998</c:v>
                </c:pt>
                <c:pt idx="25">
                  <c:v>1.2782610000000001</c:v>
                </c:pt>
                <c:pt idx="26">
                  <c:v>1.387178</c:v>
                </c:pt>
                <c:pt idx="27">
                  <c:v>1.4649320000000001</c:v>
                </c:pt>
                <c:pt idx="28">
                  <c:v>1.5726239999999998</c:v>
                </c:pt>
                <c:pt idx="29">
                  <c:v>1.6499459999999999</c:v>
                </c:pt>
                <c:pt idx="30">
                  <c:v>1.75787</c:v>
                </c:pt>
                <c:pt idx="31">
                  <c:v>1.8352270000000002</c:v>
                </c:pt>
                <c:pt idx="32">
                  <c:v>1.9429340000000002</c:v>
                </c:pt>
                <c:pt idx="33">
                  <c:v>2.0206300000000001</c:v>
                </c:pt>
                <c:pt idx="34">
                  <c:v>2.1302249999999998</c:v>
                </c:pt>
                <c:pt idx="35">
                  <c:v>2.207821</c:v>
                </c:pt>
                <c:pt idx="36">
                  <c:v>2.3161849999999999</c:v>
                </c:pt>
                <c:pt idx="37">
                  <c:v>2.3936220000000001</c:v>
                </c:pt>
                <c:pt idx="38">
                  <c:v>2.5021689999999999</c:v>
                </c:pt>
                <c:pt idx="39">
                  <c:v>2.581251</c:v>
                </c:pt>
                <c:pt idx="40">
                  <c:v>2.6888860000000001</c:v>
                </c:pt>
                <c:pt idx="41">
                  <c:v>2.7693400000000001</c:v>
                </c:pt>
                <c:pt idx="42">
                  <c:v>2.8780929999999998</c:v>
                </c:pt>
                <c:pt idx="43">
                  <c:v>2.9557190000000002</c:v>
                </c:pt>
                <c:pt idx="44">
                  <c:v>3.0644150000000003</c:v>
                </c:pt>
                <c:pt idx="45">
                  <c:v>3.1422470000000002</c:v>
                </c:pt>
                <c:pt idx="46">
                  <c:v>3.2055850000000001</c:v>
                </c:pt>
                <c:pt idx="47">
                  <c:v>3.32186</c:v>
                </c:pt>
                <c:pt idx="48">
                  <c:v>3.3997580000000003</c:v>
                </c:pt>
                <c:pt idx="49">
                  <c:v>3.5143380000000004</c:v>
                </c:pt>
                <c:pt idx="50">
                  <c:v>3.6040859999999997</c:v>
                </c:pt>
                <c:pt idx="51">
                  <c:v>3.6706120000000002</c:v>
                </c:pt>
                <c:pt idx="52">
                  <c:v>3.7919299999999998</c:v>
                </c:pt>
                <c:pt idx="53">
                  <c:v>3.8705530000000001</c:v>
                </c:pt>
                <c:pt idx="54">
                  <c:v>3.9794939999999999</c:v>
                </c:pt>
                <c:pt idx="55">
                  <c:v>4.0578070000000004</c:v>
                </c:pt>
                <c:pt idx="56">
                  <c:v>4.1662949999999999</c:v>
                </c:pt>
                <c:pt idx="57">
                  <c:v>4.2441740000000001</c:v>
                </c:pt>
                <c:pt idx="58">
                  <c:v>4.3527360000000002</c:v>
                </c:pt>
                <c:pt idx="59">
                  <c:v>4.430199</c:v>
                </c:pt>
                <c:pt idx="60">
                  <c:v>4.5379940000000003</c:v>
                </c:pt>
                <c:pt idx="61">
                  <c:v>4.6157149999999998</c:v>
                </c:pt>
                <c:pt idx="62">
                  <c:v>4.7238439999999997</c:v>
                </c:pt>
                <c:pt idx="63">
                  <c:v>4.8012170000000003</c:v>
                </c:pt>
                <c:pt idx="64">
                  <c:v>4.8638399999999997</c:v>
                </c:pt>
                <c:pt idx="65">
                  <c:v>4.9718970000000002</c:v>
                </c:pt>
                <c:pt idx="66">
                  <c:v>5.0491339999999996</c:v>
                </c:pt>
                <c:pt idx="67">
                  <c:v>5.1588789999999998</c:v>
                </c:pt>
                <c:pt idx="68">
                  <c:v>5.2368490000000003</c:v>
                </c:pt>
                <c:pt idx="69">
                  <c:v>5.3456049999999999</c:v>
                </c:pt>
                <c:pt idx="70">
                  <c:v>5.4238799999999996</c:v>
                </c:pt>
                <c:pt idx="71">
                  <c:v>5.5142980000000001</c:v>
                </c:pt>
                <c:pt idx="72">
                  <c:v>5.6167769999999999</c:v>
                </c:pt>
                <c:pt idx="73">
                  <c:v>5.7260530000000003</c:v>
                </c:pt>
                <c:pt idx="74">
                  <c:v>5.8036430000000001</c:v>
                </c:pt>
                <c:pt idx="75">
                  <c:v>5.9118300000000001</c:v>
                </c:pt>
                <c:pt idx="76">
                  <c:v>5.9898689999999997</c:v>
                </c:pt>
                <c:pt idx="77">
                  <c:v>6.0994650000000004</c:v>
                </c:pt>
                <c:pt idx="78">
                  <c:v>6.1781680000000003</c:v>
                </c:pt>
                <c:pt idx="79">
                  <c:v>6.2937279999999998</c:v>
                </c:pt>
                <c:pt idx="80">
                  <c:v>6.3711070000000003</c:v>
                </c:pt>
                <c:pt idx="81">
                  <c:v>6.4335750000000003</c:v>
                </c:pt>
                <c:pt idx="82">
                  <c:v>6.5579559999999999</c:v>
                </c:pt>
                <c:pt idx="83">
                  <c:v>6.6370009999999997</c:v>
                </c:pt>
                <c:pt idx="84">
                  <c:v>6.744802</c:v>
                </c:pt>
                <c:pt idx="85">
                  <c:v>6.8227130000000002</c:v>
                </c:pt>
                <c:pt idx="86">
                  <c:v>6.914428</c:v>
                </c:pt>
                <c:pt idx="87">
                  <c:v>7.0040200000000006</c:v>
                </c:pt>
                <c:pt idx="88">
                  <c:v>7.115202</c:v>
                </c:pt>
                <c:pt idx="89">
                  <c:v>7.1940299999999997</c:v>
                </c:pt>
                <c:pt idx="90">
                  <c:v>7.2579049999999992</c:v>
                </c:pt>
                <c:pt idx="91">
                  <c:v>7.3666859999999996</c:v>
                </c:pt>
                <c:pt idx="92">
                  <c:v>7.4446449999999995</c:v>
                </c:pt>
                <c:pt idx="93">
                  <c:v>7.5530139999999992</c:v>
                </c:pt>
                <c:pt idx="94">
                  <c:v>7.6310140000000004</c:v>
                </c:pt>
                <c:pt idx="95">
                  <c:v>7.7396919999999998</c:v>
                </c:pt>
                <c:pt idx="96">
                  <c:v>7.817043</c:v>
                </c:pt>
                <c:pt idx="97">
                  <c:v>7.9263370000000002</c:v>
                </c:pt>
                <c:pt idx="98">
                  <c:v>8.0046579999999992</c:v>
                </c:pt>
                <c:pt idx="99">
                  <c:v>8.1139600000000005</c:v>
                </c:pt>
                <c:pt idx="100">
                  <c:v>8.1925240000000006</c:v>
                </c:pt>
                <c:pt idx="101">
                  <c:v>8.3015559999999997</c:v>
                </c:pt>
                <c:pt idx="102">
                  <c:v>8.3789560000000005</c:v>
                </c:pt>
                <c:pt idx="103">
                  <c:v>8.4880410000000008</c:v>
                </c:pt>
                <c:pt idx="104">
                  <c:v>8.5662839999999996</c:v>
                </c:pt>
                <c:pt idx="105">
                  <c:v>8.675497</c:v>
                </c:pt>
                <c:pt idx="106">
                  <c:v>8.7537280000000006</c:v>
                </c:pt>
                <c:pt idx="107">
                  <c:v>8.8639060000000001</c:v>
                </c:pt>
                <c:pt idx="108">
                  <c:v>8.9434819999999995</c:v>
                </c:pt>
                <c:pt idx="109">
                  <c:v>9.0081260000000007</c:v>
                </c:pt>
                <c:pt idx="110">
                  <c:v>9.1183929999999993</c:v>
                </c:pt>
              </c:numCache>
            </c:numRef>
          </c:xVal>
          <c:yVal>
            <c:numRef>
              <c:f>'Motor Comparison'!$I$4:$I$114</c:f>
              <c:numCache>
                <c:formatCode>General</c:formatCode>
                <c:ptCount val="111"/>
                <c:pt idx="0">
                  <c:v>7.4999999999999997E-2</c:v>
                </c:pt>
                <c:pt idx="1">
                  <c:v>0.107</c:v>
                </c:pt>
                <c:pt idx="2">
                  <c:v>0.158</c:v>
                </c:pt>
                <c:pt idx="3">
                  <c:v>0.109</c:v>
                </c:pt>
                <c:pt idx="4">
                  <c:v>7.8E-2</c:v>
                </c:pt>
                <c:pt idx="5">
                  <c:v>7.4999999999999997E-2</c:v>
                </c:pt>
                <c:pt idx="6">
                  <c:v>0.13900000000000001</c:v>
                </c:pt>
                <c:pt idx="7">
                  <c:v>0.13300000000000001</c:v>
                </c:pt>
                <c:pt idx="8">
                  <c:v>0.08</c:v>
                </c:pt>
                <c:pt idx="9">
                  <c:v>0.111</c:v>
                </c:pt>
                <c:pt idx="10">
                  <c:v>0.11899999999999999</c:v>
                </c:pt>
                <c:pt idx="11">
                  <c:v>0.12</c:v>
                </c:pt>
                <c:pt idx="12">
                  <c:v>0.05</c:v>
                </c:pt>
                <c:pt idx="13">
                  <c:v>-2E-3</c:v>
                </c:pt>
                <c:pt idx="14">
                  <c:v>2.5999999999999999E-2</c:v>
                </c:pt>
                <c:pt idx="15">
                  <c:v>7.3999999999999996E-2</c:v>
                </c:pt>
                <c:pt idx="16">
                  <c:v>0.252</c:v>
                </c:pt>
                <c:pt idx="17">
                  <c:v>3.2120000000000002</c:v>
                </c:pt>
                <c:pt idx="18">
                  <c:v>10.167</c:v>
                </c:pt>
                <c:pt idx="19">
                  <c:v>13.103</c:v>
                </c:pt>
                <c:pt idx="20">
                  <c:v>13.077</c:v>
                </c:pt>
                <c:pt idx="21">
                  <c:v>12.977</c:v>
                </c:pt>
                <c:pt idx="22">
                  <c:v>12.958</c:v>
                </c:pt>
                <c:pt idx="23">
                  <c:v>12.944000000000001</c:v>
                </c:pt>
                <c:pt idx="24">
                  <c:v>12.941000000000001</c:v>
                </c:pt>
                <c:pt idx="25">
                  <c:v>12.855</c:v>
                </c:pt>
                <c:pt idx="26">
                  <c:v>12.776</c:v>
                </c:pt>
                <c:pt idx="27">
                  <c:v>12.78</c:v>
                </c:pt>
                <c:pt idx="28">
                  <c:v>12.881</c:v>
                </c:pt>
                <c:pt idx="29">
                  <c:v>12.894</c:v>
                </c:pt>
                <c:pt idx="30">
                  <c:v>12.867000000000001</c:v>
                </c:pt>
                <c:pt idx="31">
                  <c:v>12.938000000000001</c:v>
                </c:pt>
                <c:pt idx="32">
                  <c:v>12.903</c:v>
                </c:pt>
                <c:pt idx="33">
                  <c:v>12.874000000000001</c:v>
                </c:pt>
                <c:pt idx="34">
                  <c:v>12.938000000000001</c:v>
                </c:pt>
                <c:pt idx="35">
                  <c:v>12.925000000000001</c:v>
                </c:pt>
                <c:pt idx="36">
                  <c:v>12.86</c:v>
                </c:pt>
                <c:pt idx="37">
                  <c:v>12.877000000000001</c:v>
                </c:pt>
                <c:pt idx="38">
                  <c:v>12.861000000000001</c:v>
                </c:pt>
                <c:pt idx="39">
                  <c:v>12.942</c:v>
                </c:pt>
                <c:pt idx="40">
                  <c:v>12.981999999999999</c:v>
                </c:pt>
                <c:pt idx="41">
                  <c:v>12.99</c:v>
                </c:pt>
                <c:pt idx="42">
                  <c:v>12.951000000000001</c:v>
                </c:pt>
                <c:pt idx="43">
                  <c:v>12.901999999999999</c:v>
                </c:pt>
                <c:pt idx="44">
                  <c:v>12.891999999999999</c:v>
                </c:pt>
                <c:pt idx="45">
                  <c:v>12.9</c:v>
                </c:pt>
                <c:pt idx="46">
                  <c:v>12.946999999999999</c:v>
                </c:pt>
                <c:pt idx="47">
                  <c:v>13.16</c:v>
                </c:pt>
                <c:pt idx="48">
                  <c:v>19.658000000000001</c:v>
                </c:pt>
                <c:pt idx="49">
                  <c:v>34.445</c:v>
                </c:pt>
                <c:pt idx="50">
                  <c:v>40.579000000000001</c:v>
                </c:pt>
                <c:pt idx="51">
                  <c:v>41.280999999999999</c:v>
                </c:pt>
                <c:pt idx="52">
                  <c:v>41.372</c:v>
                </c:pt>
                <c:pt idx="53">
                  <c:v>41.487000000000002</c:v>
                </c:pt>
                <c:pt idx="54">
                  <c:v>41.353000000000002</c:v>
                </c:pt>
                <c:pt idx="55">
                  <c:v>41.390999999999998</c:v>
                </c:pt>
                <c:pt idx="56">
                  <c:v>41.523000000000003</c:v>
                </c:pt>
                <c:pt idx="57">
                  <c:v>41.372</c:v>
                </c:pt>
                <c:pt idx="58">
                  <c:v>41.213999999999999</c:v>
                </c:pt>
                <c:pt idx="59">
                  <c:v>41.05</c:v>
                </c:pt>
                <c:pt idx="60">
                  <c:v>40.997</c:v>
                </c:pt>
                <c:pt idx="61">
                  <c:v>41.14</c:v>
                </c:pt>
                <c:pt idx="62">
                  <c:v>40.956000000000003</c:v>
                </c:pt>
                <c:pt idx="63">
                  <c:v>40.920999999999999</c:v>
                </c:pt>
                <c:pt idx="64">
                  <c:v>40.956000000000003</c:v>
                </c:pt>
                <c:pt idx="65">
                  <c:v>41.006999999999998</c:v>
                </c:pt>
                <c:pt idx="66">
                  <c:v>41.064999999999998</c:v>
                </c:pt>
                <c:pt idx="67">
                  <c:v>41.063000000000002</c:v>
                </c:pt>
                <c:pt idx="68">
                  <c:v>41.118000000000002</c:v>
                </c:pt>
                <c:pt idx="69">
                  <c:v>41.149000000000001</c:v>
                </c:pt>
                <c:pt idx="70">
                  <c:v>41.11</c:v>
                </c:pt>
                <c:pt idx="71">
                  <c:v>41.152000000000001</c:v>
                </c:pt>
                <c:pt idx="72">
                  <c:v>41.213999999999999</c:v>
                </c:pt>
                <c:pt idx="73">
                  <c:v>41.21</c:v>
                </c:pt>
                <c:pt idx="74">
                  <c:v>41.042999999999999</c:v>
                </c:pt>
                <c:pt idx="75">
                  <c:v>41.097999999999999</c:v>
                </c:pt>
                <c:pt idx="76">
                  <c:v>41.075000000000003</c:v>
                </c:pt>
                <c:pt idx="77">
                  <c:v>41.043999999999997</c:v>
                </c:pt>
                <c:pt idx="78">
                  <c:v>41.146999999999998</c:v>
                </c:pt>
                <c:pt idx="79">
                  <c:v>41.121000000000002</c:v>
                </c:pt>
                <c:pt idx="80">
                  <c:v>41.433</c:v>
                </c:pt>
                <c:pt idx="81">
                  <c:v>51.286000000000001</c:v>
                </c:pt>
                <c:pt idx="82">
                  <c:v>71.957999999999998</c:v>
                </c:pt>
                <c:pt idx="83">
                  <c:v>78.744</c:v>
                </c:pt>
                <c:pt idx="84">
                  <c:v>79.454999999999998</c:v>
                </c:pt>
                <c:pt idx="85">
                  <c:v>79.343999999999994</c:v>
                </c:pt>
                <c:pt idx="86">
                  <c:v>79.251000000000005</c:v>
                </c:pt>
                <c:pt idx="87">
                  <c:v>79.394000000000005</c:v>
                </c:pt>
                <c:pt idx="88">
                  <c:v>79.299000000000007</c:v>
                </c:pt>
                <c:pt idx="89">
                  <c:v>79.066000000000003</c:v>
                </c:pt>
                <c:pt idx="90">
                  <c:v>79.114999999999995</c:v>
                </c:pt>
                <c:pt idx="91">
                  <c:v>79.308000000000007</c:v>
                </c:pt>
                <c:pt idx="92">
                  <c:v>79.14</c:v>
                </c:pt>
                <c:pt idx="93">
                  <c:v>78.975999999999999</c:v>
                </c:pt>
                <c:pt idx="94">
                  <c:v>78.912999999999997</c:v>
                </c:pt>
                <c:pt idx="95">
                  <c:v>78.793000000000006</c:v>
                </c:pt>
                <c:pt idx="96">
                  <c:v>78.787000000000006</c:v>
                </c:pt>
                <c:pt idx="97">
                  <c:v>78.706000000000003</c:v>
                </c:pt>
                <c:pt idx="98">
                  <c:v>78.59</c:v>
                </c:pt>
                <c:pt idx="99">
                  <c:v>78.849999999999994</c:v>
                </c:pt>
                <c:pt idx="100">
                  <c:v>78.748999999999995</c:v>
                </c:pt>
                <c:pt idx="101">
                  <c:v>78.539000000000001</c:v>
                </c:pt>
                <c:pt idx="102">
                  <c:v>78.41</c:v>
                </c:pt>
                <c:pt idx="103">
                  <c:v>78.466999999999999</c:v>
                </c:pt>
                <c:pt idx="104">
                  <c:v>78.397000000000006</c:v>
                </c:pt>
                <c:pt idx="105">
                  <c:v>78.332999999999998</c:v>
                </c:pt>
                <c:pt idx="106">
                  <c:v>78.245999999999995</c:v>
                </c:pt>
                <c:pt idx="107">
                  <c:v>78.31</c:v>
                </c:pt>
                <c:pt idx="108">
                  <c:v>78.277000000000001</c:v>
                </c:pt>
                <c:pt idx="109">
                  <c:v>78.471999999999994</c:v>
                </c:pt>
                <c:pt idx="110">
                  <c:v>78.445999999999998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BD7-194A-BA19-7D1517FB0EFE}"/>
            </c:ext>
          </c:extLst>
        </c:ser>
        <c:ser>
          <c:idx val="6"/>
          <c:order val="2"/>
          <c:tx>
            <c:v> Robo 2.5" Propeller</c:v>
          </c:tx>
          <c:spPr>
            <a:ln w="25400">
              <a:solidFill>
                <a:schemeClr val="accent2">
                  <a:lumMod val="60000"/>
                  <a:lumOff val="40000"/>
                </a:schemeClr>
              </a:solidFill>
            </a:ln>
          </c:spPr>
          <c:marker>
            <c:symbol val="none"/>
          </c:marker>
          <c:xVal>
            <c:numRef>
              <c:f>'Motor Comparison'!$S$4:$S$114</c:f>
              <c:numCache>
                <c:formatCode>General</c:formatCode>
                <c:ptCount val="111"/>
                <c:pt idx="0">
                  <c:v>-1</c:v>
                </c:pt>
                <c:pt idx="1">
                  <c:v>-0.88232900000000003</c:v>
                </c:pt>
                <c:pt idx="2">
                  <c:v>-0.75747399999999998</c:v>
                </c:pt>
                <c:pt idx="3">
                  <c:v>-0.69316299999999997</c:v>
                </c:pt>
                <c:pt idx="4">
                  <c:v>-0.57098000000000004</c:v>
                </c:pt>
                <c:pt idx="5">
                  <c:v>-0.48970100000000005</c:v>
                </c:pt>
                <c:pt idx="6">
                  <c:v>-0.40806299999999995</c:v>
                </c:pt>
                <c:pt idx="7">
                  <c:v>-0.32796099999999995</c:v>
                </c:pt>
                <c:pt idx="8">
                  <c:v>-0.20987</c:v>
                </c:pt>
                <c:pt idx="9">
                  <c:v>-0.13083100000000003</c:v>
                </c:pt>
                <c:pt idx="10">
                  <c:v>-5.2189000000000041E-2</c:v>
                </c:pt>
                <c:pt idx="11">
                  <c:v>2.6130999999999904E-2</c:v>
                </c:pt>
                <c:pt idx="12">
                  <c:v>0.143451</c:v>
                </c:pt>
                <c:pt idx="13">
                  <c:v>0.20504999999999995</c:v>
                </c:pt>
                <c:pt idx="14">
                  <c:v>0.33019599999999993</c:v>
                </c:pt>
                <c:pt idx="15">
                  <c:v>0.40748600000000001</c:v>
                </c:pt>
                <c:pt idx="16">
                  <c:v>0.48618600000000001</c:v>
                </c:pt>
                <c:pt idx="17">
                  <c:v>0.579677</c:v>
                </c:pt>
                <c:pt idx="18">
                  <c:v>0.67262</c:v>
                </c:pt>
                <c:pt idx="19">
                  <c:v>0.75969799999999998</c:v>
                </c:pt>
                <c:pt idx="20">
                  <c:v>0.8757140000000001</c:v>
                </c:pt>
                <c:pt idx="21">
                  <c:v>0.95455200000000007</c:v>
                </c:pt>
                <c:pt idx="22">
                  <c:v>1.0335999999999999</c:v>
                </c:pt>
                <c:pt idx="23">
                  <c:v>1.1524730000000001</c:v>
                </c:pt>
                <c:pt idx="24">
                  <c:v>1.2307839999999999</c:v>
                </c:pt>
                <c:pt idx="25">
                  <c:v>1.3079939999999999</c:v>
                </c:pt>
                <c:pt idx="26">
                  <c:v>1.4246189999999999</c:v>
                </c:pt>
                <c:pt idx="27">
                  <c:v>1.4994480000000001</c:v>
                </c:pt>
                <c:pt idx="28">
                  <c:v>1.615386</c:v>
                </c:pt>
                <c:pt idx="29">
                  <c:v>1.6901679999999999</c:v>
                </c:pt>
                <c:pt idx="30">
                  <c:v>1.7662819999999999</c:v>
                </c:pt>
                <c:pt idx="31">
                  <c:v>1.8828330000000002</c:v>
                </c:pt>
                <c:pt idx="32">
                  <c:v>1.9588899999999998</c:v>
                </c:pt>
                <c:pt idx="33">
                  <c:v>2.0748099999999998</c:v>
                </c:pt>
                <c:pt idx="34">
                  <c:v>2.1503839999999999</c:v>
                </c:pt>
                <c:pt idx="35">
                  <c:v>2.2259639999999998</c:v>
                </c:pt>
                <c:pt idx="36">
                  <c:v>2.340751</c:v>
                </c:pt>
                <c:pt idx="37">
                  <c:v>2.4160699999999999</c:v>
                </c:pt>
                <c:pt idx="38">
                  <c:v>2.5329199999999998</c:v>
                </c:pt>
                <c:pt idx="39">
                  <c:v>2.6085959999999999</c:v>
                </c:pt>
                <c:pt idx="40">
                  <c:v>2.6854520000000002</c:v>
                </c:pt>
                <c:pt idx="41">
                  <c:v>2.80287</c:v>
                </c:pt>
                <c:pt idx="42">
                  <c:v>2.8803899999999998</c:v>
                </c:pt>
                <c:pt idx="43">
                  <c:v>2.9963860000000002</c:v>
                </c:pt>
                <c:pt idx="44">
                  <c:v>3.0728299999999997</c:v>
                </c:pt>
                <c:pt idx="45">
                  <c:v>3.1493359999999999</c:v>
                </c:pt>
                <c:pt idx="46">
                  <c:v>3.2657790000000002</c:v>
                </c:pt>
                <c:pt idx="47">
                  <c:v>3.3504050000000003</c:v>
                </c:pt>
                <c:pt idx="48">
                  <c:v>3.4264549999999998</c:v>
                </c:pt>
                <c:pt idx="49">
                  <c:v>3.5172299999999996</c:v>
                </c:pt>
                <c:pt idx="50">
                  <c:v>3.6342460000000001</c:v>
                </c:pt>
                <c:pt idx="51">
                  <c:v>3.7116470000000001</c:v>
                </c:pt>
                <c:pt idx="52">
                  <c:v>3.7878749999999997</c:v>
                </c:pt>
                <c:pt idx="53">
                  <c:v>3.9056940000000004</c:v>
                </c:pt>
                <c:pt idx="54">
                  <c:v>3.9826689999999996</c:v>
                </c:pt>
                <c:pt idx="55">
                  <c:v>4.0993199999999996</c:v>
                </c:pt>
                <c:pt idx="56">
                  <c:v>4.1751519999999998</c:v>
                </c:pt>
                <c:pt idx="57">
                  <c:v>4.2515179999999999</c:v>
                </c:pt>
                <c:pt idx="58">
                  <c:v>4.3691579999999997</c:v>
                </c:pt>
                <c:pt idx="59">
                  <c:v>4.4445230000000002</c:v>
                </c:pt>
                <c:pt idx="60">
                  <c:v>4.5485420000000003</c:v>
                </c:pt>
                <c:pt idx="61">
                  <c:v>4.6204169999999998</c:v>
                </c:pt>
                <c:pt idx="62">
                  <c:v>4.7382559999999998</c:v>
                </c:pt>
                <c:pt idx="63">
                  <c:v>4.8036269999999996</c:v>
                </c:pt>
                <c:pt idx="64">
                  <c:v>4.9298209999999996</c:v>
                </c:pt>
                <c:pt idx="65">
                  <c:v>5.0119160000000003</c:v>
                </c:pt>
                <c:pt idx="66">
                  <c:v>5.0948310000000001</c:v>
                </c:pt>
                <c:pt idx="67">
                  <c:v>5.1778079999999997</c:v>
                </c:pt>
                <c:pt idx="68">
                  <c:v>5.2624240000000002</c:v>
                </c:pt>
                <c:pt idx="69">
                  <c:v>5.3800689999999998</c:v>
                </c:pt>
                <c:pt idx="70">
                  <c:v>5.4591969999999996</c:v>
                </c:pt>
                <c:pt idx="71">
                  <c:v>5.5757779999999997</c:v>
                </c:pt>
                <c:pt idx="72">
                  <c:v>5.6521429999999997</c:v>
                </c:pt>
                <c:pt idx="73">
                  <c:v>5.7327820000000003</c:v>
                </c:pt>
                <c:pt idx="74">
                  <c:v>5.8174929999999998</c:v>
                </c:pt>
                <c:pt idx="75">
                  <c:v>5.9405859999999997</c:v>
                </c:pt>
                <c:pt idx="76">
                  <c:v>6.0026989999999998</c:v>
                </c:pt>
                <c:pt idx="77">
                  <c:v>6.1223890000000001</c:v>
                </c:pt>
                <c:pt idx="78">
                  <c:v>6.2009350000000003</c:v>
                </c:pt>
                <c:pt idx="79">
                  <c:v>6.2784639999999996</c:v>
                </c:pt>
                <c:pt idx="80">
                  <c:v>6.4039729999999997</c:v>
                </c:pt>
                <c:pt idx="81">
                  <c:v>6.4810809999999996</c:v>
                </c:pt>
                <c:pt idx="82">
                  <c:v>6.5750640000000002</c:v>
                </c:pt>
                <c:pt idx="83">
                  <c:v>6.6575110000000004</c:v>
                </c:pt>
                <c:pt idx="84">
                  <c:v>6.7387819999999996</c:v>
                </c:pt>
                <c:pt idx="85">
                  <c:v>6.8479539999999997</c:v>
                </c:pt>
                <c:pt idx="86">
                  <c:v>6.9219860000000004</c:v>
                </c:pt>
                <c:pt idx="87">
                  <c:v>7.0383089999999999</c:v>
                </c:pt>
                <c:pt idx="88">
                  <c:v>7.11538</c:v>
                </c:pt>
                <c:pt idx="89">
                  <c:v>7.2325520000000001</c:v>
                </c:pt>
                <c:pt idx="90">
                  <c:v>7.3095780000000001</c:v>
                </c:pt>
                <c:pt idx="91">
                  <c:v>7.3883880000000008</c:v>
                </c:pt>
                <c:pt idx="92">
                  <c:v>7.5040990000000001</c:v>
                </c:pt>
                <c:pt idx="93">
                  <c:v>7.5814409999999999</c:v>
                </c:pt>
                <c:pt idx="94">
                  <c:v>7.6573370000000001</c:v>
                </c:pt>
                <c:pt idx="95">
                  <c:v>7.7791169999999994</c:v>
                </c:pt>
                <c:pt idx="96">
                  <c:v>7.8617910000000002</c:v>
                </c:pt>
                <c:pt idx="97">
                  <c:v>7.9453340000000008</c:v>
                </c:pt>
                <c:pt idx="98">
                  <c:v>8.0286179999999998</c:v>
                </c:pt>
                <c:pt idx="99">
                  <c:v>8.1517730000000004</c:v>
                </c:pt>
                <c:pt idx="100">
                  <c:v>8.2304680000000001</c:v>
                </c:pt>
                <c:pt idx="101">
                  <c:v>8.3084120000000006</c:v>
                </c:pt>
                <c:pt idx="102">
                  <c:v>8.4253280000000004</c:v>
                </c:pt>
                <c:pt idx="103">
                  <c:v>8.5024610000000003</c:v>
                </c:pt>
                <c:pt idx="104">
                  <c:v>8.5820550000000004</c:v>
                </c:pt>
                <c:pt idx="105">
                  <c:v>8.6994319999999998</c:v>
                </c:pt>
                <c:pt idx="106">
                  <c:v>8.7769549999999992</c:v>
                </c:pt>
                <c:pt idx="107">
                  <c:v>8.8534740000000003</c:v>
                </c:pt>
                <c:pt idx="108">
                  <c:v>8.9697359999999993</c:v>
                </c:pt>
                <c:pt idx="109">
                  <c:v>9.0467049999999993</c:v>
                </c:pt>
                <c:pt idx="110">
                  <c:v>9.1627310000000008</c:v>
                </c:pt>
              </c:numCache>
            </c:numRef>
          </c:xVal>
          <c:yVal>
            <c:numRef>
              <c:f>'Motor Comparison'!$P$4:$P$115</c:f>
              <c:numCache>
                <c:formatCode>General</c:formatCode>
                <c:ptCount val="112"/>
                <c:pt idx="0">
                  <c:v>-0.111</c:v>
                </c:pt>
                <c:pt idx="1">
                  <c:v>-7.2999999999999995E-2</c:v>
                </c:pt>
                <c:pt idx="2">
                  <c:v>-5.2999999999999999E-2</c:v>
                </c:pt>
                <c:pt idx="3">
                  <c:v>-6.6000000000000003E-2</c:v>
                </c:pt>
                <c:pt idx="4">
                  <c:v>-2.8000000000000001E-2</c:v>
                </c:pt>
                <c:pt idx="5">
                  <c:v>-4.8000000000000001E-2</c:v>
                </c:pt>
                <c:pt idx="6">
                  <c:v>-7.5999999999999998E-2</c:v>
                </c:pt>
                <c:pt idx="7">
                  <c:v>-6.6000000000000003E-2</c:v>
                </c:pt>
                <c:pt idx="8">
                  <c:v>-3.5000000000000003E-2</c:v>
                </c:pt>
                <c:pt idx="9">
                  <c:v>4.0000000000000001E-3</c:v>
                </c:pt>
                <c:pt idx="10">
                  <c:v>-4.2000000000000003E-2</c:v>
                </c:pt>
                <c:pt idx="11">
                  <c:v>-7.2999999999999995E-2</c:v>
                </c:pt>
                <c:pt idx="12">
                  <c:v>-6.4000000000000001E-2</c:v>
                </c:pt>
                <c:pt idx="13">
                  <c:v>-8.8999999999999996E-2</c:v>
                </c:pt>
                <c:pt idx="14">
                  <c:v>-6.7000000000000004E-2</c:v>
                </c:pt>
                <c:pt idx="15">
                  <c:v>-2.8000000000000001E-2</c:v>
                </c:pt>
                <c:pt idx="16">
                  <c:v>-1.9E-2</c:v>
                </c:pt>
                <c:pt idx="17">
                  <c:v>1.546</c:v>
                </c:pt>
                <c:pt idx="18">
                  <c:v>10.284000000000001</c:v>
                </c:pt>
                <c:pt idx="19">
                  <c:v>20.913</c:v>
                </c:pt>
                <c:pt idx="20">
                  <c:v>25.321000000000002</c:v>
                </c:pt>
                <c:pt idx="21">
                  <c:v>26.356999999999999</c:v>
                </c:pt>
                <c:pt idx="22">
                  <c:v>26.550999999999998</c:v>
                </c:pt>
                <c:pt idx="23">
                  <c:v>26.693000000000001</c:v>
                </c:pt>
                <c:pt idx="24">
                  <c:v>26.478000000000002</c:v>
                </c:pt>
                <c:pt idx="25">
                  <c:v>26.465</c:v>
                </c:pt>
                <c:pt idx="26">
                  <c:v>26.486999999999998</c:v>
                </c:pt>
                <c:pt idx="27">
                  <c:v>26.492999999999999</c:v>
                </c:pt>
                <c:pt idx="28">
                  <c:v>26.417000000000002</c:v>
                </c:pt>
                <c:pt idx="29">
                  <c:v>26.288</c:v>
                </c:pt>
                <c:pt idx="30">
                  <c:v>26.238</c:v>
                </c:pt>
                <c:pt idx="31">
                  <c:v>26.294</c:v>
                </c:pt>
                <c:pt idx="32">
                  <c:v>26.262</c:v>
                </c:pt>
                <c:pt idx="33">
                  <c:v>26.28</c:v>
                </c:pt>
                <c:pt idx="34">
                  <c:v>26.225999999999999</c:v>
                </c:pt>
                <c:pt idx="35">
                  <c:v>26.146000000000001</c:v>
                </c:pt>
                <c:pt idx="36">
                  <c:v>26.132000000000001</c:v>
                </c:pt>
                <c:pt idx="37">
                  <c:v>26.091999999999999</c:v>
                </c:pt>
                <c:pt idx="38">
                  <c:v>26.117000000000001</c:v>
                </c:pt>
                <c:pt idx="39">
                  <c:v>26.087</c:v>
                </c:pt>
                <c:pt idx="40">
                  <c:v>25.975999999999999</c:v>
                </c:pt>
                <c:pt idx="41">
                  <c:v>26.024000000000001</c:v>
                </c:pt>
                <c:pt idx="42">
                  <c:v>25.994</c:v>
                </c:pt>
                <c:pt idx="43">
                  <c:v>25.905000000000001</c:v>
                </c:pt>
                <c:pt idx="44">
                  <c:v>25.814</c:v>
                </c:pt>
                <c:pt idx="45">
                  <c:v>25.847000000000001</c:v>
                </c:pt>
                <c:pt idx="46">
                  <c:v>25.907</c:v>
                </c:pt>
                <c:pt idx="47">
                  <c:v>26.007999999999999</c:v>
                </c:pt>
                <c:pt idx="48">
                  <c:v>28.044</c:v>
                </c:pt>
                <c:pt idx="49">
                  <c:v>38.372</c:v>
                </c:pt>
                <c:pt idx="50">
                  <c:v>46.447000000000003</c:v>
                </c:pt>
                <c:pt idx="51">
                  <c:v>47.968000000000004</c:v>
                </c:pt>
                <c:pt idx="52">
                  <c:v>48.058</c:v>
                </c:pt>
                <c:pt idx="53">
                  <c:v>48.014000000000003</c:v>
                </c:pt>
                <c:pt idx="54">
                  <c:v>47.81</c:v>
                </c:pt>
                <c:pt idx="55">
                  <c:v>47.841000000000001</c:v>
                </c:pt>
                <c:pt idx="56">
                  <c:v>47.793999999999997</c:v>
                </c:pt>
                <c:pt idx="57">
                  <c:v>47.572000000000003</c:v>
                </c:pt>
                <c:pt idx="58">
                  <c:v>47.521999999999998</c:v>
                </c:pt>
                <c:pt idx="59">
                  <c:v>47.398000000000003</c:v>
                </c:pt>
                <c:pt idx="60">
                  <c:v>47.241999999999997</c:v>
                </c:pt>
                <c:pt idx="61">
                  <c:v>46.976999999999997</c:v>
                </c:pt>
                <c:pt idx="62">
                  <c:v>46.963999999999999</c:v>
                </c:pt>
                <c:pt idx="63">
                  <c:v>46.854999999999997</c:v>
                </c:pt>
                <c:pt idx="64">
                  <c:v>46.83</c:v>
                </c:pt>
                <c:pt idx="65">
                  <c:v>46.853000000000002</c:v>
                </c:pt>
                <c:pt idx="66">
                  <c:v>46.642000000000003</c:v>
                </c:pt>
                <c:pt idx="67">
                  <c:v>46.613999999999997</c:v>
                </c:pt>
                <c:pt idx="68">
                  <c:v>46.506999999999998</c:v>
                </c:pt>
                <c:pt idx="69">
                  <c:v>46.337000000000003</c:v>
                </c:pt>
                <c:pt idx="70">
                  <c:v>46.393999999999998</c:v>
                </c:pt>
                <c:pt idx="71">
                  <c:v>46.426000000000002</c:v>
                </c:pt>
                <c:pt idx="72">
                  <c:v>46.210999999999999</c:v>
                </c:pt>
                <c:pt idx="73">
                  <c:v>46.097999999999999</c:v>
                </c:pt>
                <c:pt idx="74">
                  <c:v>45.982999999999997</c:v>
                </c:pt>
                <c:pt idx="75">
                  <c:v>45.792999999999999</c:v>
                </c:pt>
                <c:pt idx="76">
                  <c:v>45.697000000000003</c:v>
                </c:pt>
                <c:pt idx="77">
                  <c:v>45.935000000000002</c:v>
                </c:pt>
                <c:pt idx="78">
                  <c:v>45.868000000000002</c:v>
                </c:pt>
                <c:pt idx="79">
                  <c:v>45.628</c:v>
                </c:pt>
                <c:pt idx="80">
                  <c:v>45.414000000000001</c:v>
                </c:pt>
                <c:pt idx="81">
                  <c:v>46.456000000000003</c:v>
                </c:pt>
                <c:pt idx="82">
                  <c:v>54.787999999999997</c:v>
                </c:pt>
                <c:pt idx="83">
                  <c:v>63.874000000000002</c:v>
                </c:pt>
                <c:pt idx="84">
                  <c:v>65.659000000000006</c:v>
                </c:pt>
                <c:pt idx="85">
                  <c:v>65.366</c:v>
                </c:pt>
                <c:pt idx="86">
                  <c:v>65.06</c:v>
                </c:pt>
                <c:pt idx="87">
                  <c:v>64.69</c:v>
                </c:pt>
                <c:pt idx="88">
                  <c:v>64.522999999999996</c:v>
                </c:pt>
                <c:pt idx="89">
                  <c:v>64.090999999999994</c:v>
                </c:pt>
                <c:pt idx="90">
                  <c:v>64.094999999999999</c:v>
                </c:pt>
                <c:pt idx="91">
                  <c:v>63.896000000000001</c:v>
                </c:pt>
                <c:pt idx="92">
                  <c:v>63.357999999999997</c:v>
                </c:pt>
                <c:pt idx="93">
                  <c:v>63.424999999999997</c:v>
                </c:pt>
                <c:pt idx="94">
                  <c:v>63.23</c:v>
                </c:pt>
                <c:pt idx="95">
                  <c:v>63.213999999999999</c:v>
                </c:pt>
                <c:pt idx="96">
                  <c:v>63.258000000000003</c:v>
                </c:pt>
                <c:pt idx="97">
                  <c:v>63.000999999999998</c:v>
                </c:pt>
                <c:pt idx="98">
                  <c:v>62.991</c:v>
                </c:pt>
                <c:pt idx="99">
                  <c:v>62.896999999999998</c:v>
                </c:pt>
                <c:pt idx="100">
                  <c:v>62.808</c:v>
                </c:pt>
                <c:pt idx="101">
                  <c:v>62.537999999999997</c:v>
                </c:pt>
                <c:pt idx="102">
                  <c:v>62.421999999999997</c:v>
                </c:pt>
                <c:pt idx="103">
                  <c:v>62.493000000000002</c:v>
                </c:pt>
                <c:pt idx="104">
                  <c:v>62.255000000000003</c:v>
                </c:pt>
                <c:pt idx="105">
                  <c:v>62.167000000000002</c:v>
                </c:pt>
                <c:pt idx="106">
                  <c:v>62.241</c:v>
                </c:pt>
                <c:pt idx="107">
                  <c:v>62.048000000000002</c:v>
                </c:pt>
                <c:pt idx="108">
                  <c:v>61.878999999999998</c:v>
                </c:pt>
                <c:pt idx="109">
                  <c:v>61.991</c:v>
                </c:pt>
                <c:pt idx="110">
                  <c:v>61.895000000000003</c:v>
                </c:pt>
                <c:pt idx="111">
                  <c:v>61.688000000000002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BD7-194A-BA19-7D1517FB0EFE}"/>
            </c:ext>
          </c:extLst>
        </c:ser>
        <c:ser>
          <c:idx val="7"/>
          <c:order val="3"/>
          <c:tx>
            <c:v> Robo 3" Propeller</c:v>
          </c:tx>
          <c:spPr>
            <a:ln w="25400">
              <a:solidFill>
                <a:schemeClr val="accent4">
                  <a:lumMod val="60000"/>
                  <a:lumOff val="40000"/>
                </a:schemeClr>
              </a:solidFill>
            </a:ln>
          </c:spPr>
          <c:marker>
            <c:symbol val="none"/>
          </c:marker>
          <c:xVal>
            <c:numRef>
              <c:f>'Motor Comparison'!$Y$4:$Y$114</c:f>
              <c:numCache>
                <c:formatCode>General</c:formatCode>
                <c:ptCount val="111"/>
                <c:pt idx="0">
                  <c:v>-1</c:v>
                </c:pt>
                <c:pt idx="1">
                  <c:v>-0.91095899999999996</c:v>
                </c:pt>
                <c:pt idx="2">
                  <c:v>-0.83438199999999996</c:v>
                </c:pt>
                <c:pt idx="3">
                  <c:v>-0.71794400000000003</c:v>
                </c:pt>
                <c:pt idx="4">
                  <c:v>-0.63907899999999995</c:v>
                </c:pt>
                <c:pt idx="5">
                  <c:v>-0.56165500000000002</c:v>
                </c:pt>
                <c:pt idx="6">
                  <c:v>-0.44645800000000002</c:v>
                </c:pt>
                <c:pt idx="7">
                  <c:v>-0.36814400000000003</c:v>
                </c:pt>
                <c:pt idx="8">
                  <c:v>-0.25129500000000005</c:v>
                </c:pt>
                <c:pt idx="9">
                  <c:v>-0.17538299999999996</c:v>
                </c:pt>
                <c:pt idx="10">
                  <c:v>-9.9663999999999975E-2</c:v>
                </c:pt>
                <c:pt idx="11">
                  <c:v>1.6259000000000023E-2</c:v>
                </c:pt>
                <c:pt idx="12">
                  <c:v>0.11998299999999995</c:v>
                </c:pt>
                <c:pt idx="13">
                  <c:v>0.19993799999999995</c:v>
                </c:pt>
                <c:pt idx="14">
                  <c:v>0.27697499999999997</c:v>
                </c:pt>
                <c:pt idx="15">
                  <c:v>0.39325499999999991</c:v>
                </c:pt>
                <c:pt idx="16">
                  <c:v>0.4694640000000001</c:v>
                </c:pt>
                <c:pt idx="17">
                  <c:v>0.56067299999999998</c:v>
                </c:pt>
                <c:pt idx="18">
                  <c:v>0.66084100000000001</c:v>
                </c:pt>
                <c:pt idx="19">
                  <c:v>0.74910199999999993</c:v>
                </c:pt>
                <c:pt idx="20">
                  <c:v>0.83730900000000008</c:v>
                </c:pt>
                <c:pt idx="21">
                  <c:v>0.92369600000000007</c:v>
                </c:pt>
                <c:pt idx="22">
                  <c:v>1.009582</c:v>
                </c:pt>
                <c:pt idx="23">
                  <c:v>1.1255169999999999</c:v>
                </c:pt>
                <c:pt idx="24">
                  <c:v>1.2011080000000001</c:v>
                </c:pt>
                <c:pt idx="25">
                  <c:v>1.3181940000000001</c:v>
                </c:pt>
                <c:pt idx="26">
                  <c:v>1.3777430000000002</c:v>
                </c:pt>
                <c:pt idx="27">
                  <c:v>1.4930970000000001</c:v>
                </c:pt>
                <c:pt idx="28">
                  <c:v>1.5685120000000001</c:v>
                </c:pt>
                <c:pt idx="29">
                  <c:v>1.6843279999999998</c:v>
                </c:pt>
                <c:pt idx="30">
                  <c:v>1.760078</c:v>
                </c:pt>
                <c:pt idx="31">
                  <c:v>1.835858</c:v>
                </c:pt>
                <c:pt idx="32">
                  <c:v>1.951168</c:v>
                </c:pt>
                <c:pt idx="33">
                  <c:v>2.027253</c:v>
                </c:pt>
                <c:pt idx="34">
                  <c:v>2.14208</c:v>
                </c:pt>
                <c:pt idx="35">
                  <c:v>2.2171959999999999</c:v>
                </c:pt>
                <c:pt idx="36">
                  <c:v>2.3206039999999999</c:v>
                </c:pt>
                <c:pt idx="37">
                  <c:v>2.3917220000000001</c:v>
                </c:pt>
                <c:pt idx="38">
                  <c:v>2.5076559999999999</c:v>
                </c:pt>
                <c:pt idx="39">
                  <c:v>2.5845889999999998</c:v>
                </c:pt>
                <c:pt idx="40">
                  <c:v>2.6613850000000001</c:v>
                </c:pt>
                <c:pt idx="41">
                  <c:v>2.7782279999999999</c:v>
                </c:pt>
                <c:pt idx="42">
                  <c:v>2.8548789999999999</c:v>
                </c:pt>
                <c:pt idx="43">
                  <c:v>2.969814</c:v>
                </c:pt>
                <c:pt idx="44">
                  <c:v>3.0461320000000001</c:v>
                </c:pt>
                <c:pt idx="45">
                  <c:v>3.1223729999999996</c:v>
                </c:pt>
                <c:pt idx="46">
                  <c:v>3.2466939999999997</c:v>
                </c:pt>
                <c:pt idx="47">
                  <c:v>3.3223140000000004</c:v>
                </c:pt>
                <c:pt idx="48">
                  <c:v>3.413246</c:v>
                </c:pt>
                <c:pt idx="49">
                  <c:v>3.4904520000000003</c:v>
                </c:pt>
                <c:pt idx="50">
                  <c:v>3.6072170000000003</c:v>
                </c:pt>
                <c:pt idx="51">
                  <c:v>3.678579</c:v>
                </c:pt>
                <c:pt idx="52">
                  <c:v>3.7954569999999999</c:v>
                </c:pt>
                <c:pt idx="53">
                  <c:v>3.8730739999999999</c:v>
                </c:pt>
                <c:pt idx="54">
                  <c:v>3.9885479999999998</c:v>
                </c:pt>
                <c:pt idx="55">
                  <c:v>4.064425</c:v>
                </c:pt>
                <c:pt idx="56">
                  <c:v>4.1406320000000001</c:v>
                </c:pt>
                <c:pt idx="57">
                  <c:v>4.2562959999999999</c:v>
                </c:pt>
                <c:pt idx="58">
                  <c:v>4.3329510000000004</c:v>
                </c:pt>
                <c:pt idx="59">
                  <c:v>4.4485479999999997</c:v>
                </c:pt>
                <c:pt idx="60">
                  <c:v>4.5256429999999996</c:v>
                </c:pt>
                <c:pt idx="61">
                  <c:v>4.6050890000000004</c:v>
                </c:pt>
                <c:pt idx="62">
                  <c:v>4.7205180000000002</c:v>
                </c:pt>
                <c:pt idx="63">
                  <c:v>4.7973699999999999</c:v>
                </c:pt>
                <c:pt idx="64">
                  <c:v>4.8745240000000001</c:v>
                </c:pt>
                <c:pt idx="65">
                  <c:v>4.9918820000000004</c:v>
                </c:pt>
                <c:pt idx="66">
                  <c:v>5.0683129999999998</c:v>
                </c:pt>
                <c:pt idx="67">
                  <c:v>5.185924</c:v>
                </c:pt>
                <c:pt idx="68">
                  <c:v>5.2634069999999999</c:v>
                </c:pt>
                <c:pt idx="69">
                  <c:v>5.3410640000000003</c:v>
                </c:pt>
                <c:pt idx="70">
                  <c:v>5.4588770000000002</c:v>
                </c:pt>
                <c:pt idx="71">
                  <c:v>5.5374179999999997</c:v>
                </c:pt>
                <c:pt idx="72">
                  <c:v>5.614268</c:v>
                </c:pt>
                <c:pt idx="73">
                  <c:v>5.7315069999999997</c:v>
                </c:pt>
                <c:pt idx="74">
                  <c:v>5.8086690000000001</c:v>
                </c:pt>
                <c:pt idx="75">
                  <c:v>5.8843949999999996</c:v>
                </c:pt>
                <c:pt idx="76">
                  <c:v>5.9994059999999996</c:v>
                </c:pt>
                <c:pt idx="77">
                  <c:v>6.0759449999999999</c:v>
                </c:pt>
                <c:pt idx="78">
                  <c:v>6.1932320000000001</c:v>
                </c:pt>
                <c:pt idx="79">
                  <c:v>6.270003</c:v>
                </c:pt>
                <c:pt idx="80">
                  <c:v>6.3547450000000003</c:v>
                </c:pt>
                <c:pt idx="81">
                  <c:v>6.4719239999999996</c:v>
                </c:pt>
                <c:pt idx="82">
                  <c:v>6.5604620000000002</c:v>
                </c:pt>
                <c:pt idx="83">
                  <c:v>6.6391030000000004</c:v>
                </c:pt>
                <c:pt idx="84">
                  <c:v>6.7172219999999996</c:v>
                </c:pt>
                <c:pt idx="85">
                  <c:v>6.8249490000000002</c:v>
                </c:pt>
                <c:pt idx="86">
                  <c:v>6.8985310000000002</c:v>
                </c:pt>
                <c:pt idx="87">
                  <c:v>7.0155930000000009</c:v>
                </c:pt>
                <c:pt idx="88">
                  <c:v>7.1213529999999992</c:v>
                </c:pt>
                <c:pt idx="89">
                  <c:v>7.1917969999999993</c:v>
                </c:pt>
                <c:pt idx="90">
                  <c:v>7.2692110000000003</c:v>
                </c:pt>
                <c:pt idx="91">
                  <c:v>7.3873219999999993</c:v>
                </c:pt>
                <c:pt idx="92">
                  <c:v>7.4632880000000004</c:v>
                </c:pt>
                <c:pt idx="93">
                  <c:v>7.5792680000000008</c:v>
                </c:pt>
                <c:pt idx="94">
                  <c:v>7.6551559999999998</c:v>
                </c:pt>
                <c:pt idx="95">
                  <c:v>7.7308500000000002</c:v>
                </c:pt>
                <c:pt idx="96">
                  <c:v>7.8468129999999991</c:v>
                </c:pt>
                <c:pt idx="97">
                  <c:v>7.9229090000000006</c:v>
                </c:pt>
                <c:pt idx="98">
                  <c:v>8.0416319999999999</c:v>
                </c:pt>
                <c:pt idx="99">
                  <c:v>8.1185279999999995</c:v>
                </c:pt>
                <c:pt idx="100">
                  <c:v>8.1990820000000006</c:v>
                </c:pt>
                <c:pt idx="101">
                  <c:v>8.3169210000000007</c:v>
                </c:pt>
                <c:pt idx="102">
                  <c:v>8.3778129999999997</c:v>
                </c:pt>
                <c:pt idx="103">
                  <c:v>8.4940079999999991</c:v>
                </c:pt>
                <c:pt idx="104">
                  <c:v>8.5706179999999996</c:v>
                </c:pt>
                <c:pt idx="105">
                  <c:v>8.6482399999999995</c:v>
                </c:pt>
                <c:pt idx="106">
                  <c:v>8.7647519999999997</c:v>
                </c:pt>
                <c:pt idx="107">
                  <c:v>8.8429129999999994</c:v>
                </c:pt>
                <c:pt idx="108">
                  <c:v>8.9614180000000001</c:v>
                </c:pt>
                <c:pt idx="109">
                  <c:v>9.0383829999999996</c:v>
                </c:pt>
                <c:pt idx="110">
                  <c:v>9.11449</c:v>
                </c:pt>
              </c:numCache>
            </c:numRef>
          </c:xVal>
          <c:yVal>
            <c:numRef>
              <c:f>'Motor Comparison'!$V$4:$V$115</c:f>
              <c:numCache>
                <c:formatCode>General</c:formatCode>
                <c:ptCount val="112"/>
                <c:pt idx="0">
                  <c:v>1.7999999999999999E-2</c:v>
                </c:pt>
                <c:pt idx="1">
                  <c:v>5.6000000000000001E-2</c:v>
                </c:pt>
                <c:pt idx="2">
                  <c:v>8.2000000000000003E-2</c:v>
                </c:pt>
                <c:pt idx="3">
                  <c:v>8.8999999999999996E-2</c:v>
                </c:pt>
                <c:pt idx="4">
                  <c:v>7.4999999999999997E-2</c:v>
                </c:pt>
                <c:pt idx="5">
                  <c:v>8.2000000000000003E-2</c:v>
                </c:pt>
                <c:pt idx="6">
                  <c:v>6.9000000000000006E-2</c:v>
                </c:pt>
                <c:pt idx="7">
                  <c:v>4.7E-2</c:v>
                </c:pt>
                <c:pt idx="8">
                  <c:v>0.115</c:v>
                </c:pt>
                <c:pt idx="9">
                  <c:v>0.16300000000000001</c:v>
                </c:pt>
                <c:pt idx="10">
                  <c:v>0.13</c:v>
                </c:pt>
                <c:pt idx="11">
                  <c:v>0.121</c:v>
                </c:pt>
                <c:pt idx="12">
                  <c:v>0.13400000000000001</c:v>
                </c:pt>
                <c:pt idx="13">
                  <c:v>0.156</c:v>
                </c:pt>
                <c:pt idx="14">
                  <c:v>6.4000000000000001E-2</c:v>
                </c:pt>
                <c:pt idx="15">
                  <c:v>5.3999999999999999E-2</c:v>
                </c:pt>
                <c:pt idx="16">
                  <c:v>0.35199999999999998</c:v>
                </c:pt>
                <c:pt idx="17">
                  <c:v>4.1310000000000002</c:v>
                </c:pt>
                <c:pt idx="18">
                  <c:v>15.426</c:v>
                </c:pt>
                <c:pt idx="19">
                  <c:v>24.994</c:v>
                </c:pt>
                <c:pt idx="20">
                  <c:v>28.704999999999998</c:v>
                </c:pt>
                <c:pt idx="21">
                  <c:v>29.794</c:v>
                </c:pt>
                <c:pt idx="22">
                  <c:v>30.062999999999999</c:v>
                </c:pt>
                <c:pt idx="23">
                  <c:v>30.145</c:v>
                </c:pt>
                <c:pt idx="24">
                  <c:v>30.18</c:v>
                </c:pt>
                <c:pt idx="25">
                  <c:v>30.093</c:v>
                </c:pt>
                <c:pt idx="26">
                  <c:v>29.974</c:v>
                </c:pt>
                <c:pt idx="27">
                  <c:v>29.878</c:v>
                </c:pt>
                <c:pt idx="28">
                  <c:v>29.670999999999999</c:v>
                </c:pt>
                <c:pt idx="29">
                  <c:v>29.645</c:v>
                </c:pt>
                <c:pt idx="30">
                  <c:v>29.646000000000001</c:v>
                </c:pt>
                <c:pt idx="31">
                  <c:v>29.739000000000001</c:v>
                </c:pt>
                <c:pt idx="32">
                  <c:v>29.803999999999998</c:v>
                </c:pt>
                <c:pt idx="33">
                  <c:v>29.803999999999998</c:v>
                </c:pt>
                <c:pt idx="34">
                  <c:v>29.876999999999999</c:v>
                </c:pt>
                <c:pt idx="35">
                  <c:v>29.815999999999999</c:v>
                </c:pt>
                <c:pt idx="36">
                  <c:v>29.625</c:v>
                </c:pt>
                <c:pt idx="37">
                  <c:v>29.475000000000001</c:v>
                </c:pt>
                <c:pt idx="38">
                  <c:v>29.45</c:v>
                </c:pt>
                <c:pt idx="39">
                  <c:v>29.475000000000001</c:v>
                </c:pt>
                <c:pt idx="40">
                  <c:v>29.491</c:v>
                </c:pt>
                <c:pt idx="41">
                  <c:v>29.416</c:v>
                </c:pt>
                <c:pt idx="42">
                  <c:v>29.332999999999998</c:v>
                </c:pt>
                <c:pt idx="43">
                  <c:v>29.210999999999999</c:v>
                </c:pt>
                <c:pt idx="44">
                  <c:v>29.213999999999999</c:v>
                </c:pt>
                <c:pt idx="45">
                  <c:v>29.282</c:v>
                </c:pt>
                <c:pt idx="46">
                  <c:v>29.303000000000001</c:v>
                </c:pt>
                <c:pt idx="47">
                  <c:v>29.728000000000002</c:v>
                </c:pt>
                <c:pt idx="48">
                  <c:v>36.326999999999998</c:v>
                </c:pt>
                <c:pt idx="49">
                  <c:v>48.92</c:v>
                </c:pt>
                <c:pt idx="50">
                  <c:v>54.11</c:v>
                </c:pt>
                <c:pt idx="51">
                  <c:v>54.795999999999999</c:v>
                </c:pt>
                <c:pt idx="52">
                  <c:v>54.731999999999999</c:v>
                </c:pt>
                <c:pt idx="53">
                  <c:v>54.683</c:v>
                </c:pt>
                <c:pt idx="54">
                  <c:v>54.534999999999997</c:v>
                </c:pt>
                <c:pt idx="55">
                  <c:v>54.585999999999999</c:v>
                </c:pt>
                <c:pt idx="56">
                  <c:v>54.670999999999999</c:v>
                </c:pt>
                <c:pt idx="57">
                  <c:v>54.606999999999999</c:v>
                </c:pt>
                <c:pt idx="58">
                  <c:v>54.503</c:v>
                </c:pt>
                <c:pt idx="59">
                  <c:v>54.384</c:v>
                </c:pt>
                <c:pt idx="60">
                  <c:v>54.216999999999999</c:v>
                </c:pt>
                <c:pt idx="61">
                  <c:v>53.981999999999999</c:v>
                </c:pt>
                <c:pt idx="62">
                  <c:v>53.679000000000002</c:v>
                </c:pt>
                <c:pt idx="63">
                  <c:v>53.505000000000003</c:v>
                </c:pt>
                <c:pt idx="64">
                  <c:v>53.341000000000001</c:v>
                </c:pt>
                <c:pt idx="65">
                  <c:v>53.430999999999997</c:v>
                </c:pt>
                <c:pt idx="66">
                  <c:v>53.505000000000003</c:v>
                </c:pt>
                <c:pt idx="67">
                  <c:v>53.396000000000001</c:v>
                </c:pt>
                <c:pt idx="68">
                  <c:v>53.256999999999998</c:v>
                </c:pt>
                <c:pt idx="69">
                  <c:v>53.057000000000002</c:v>
                </c:pt>
                <c:pt idx="70">
                  <c:v>52.84</c:v>
                </c:pt>
                <c:pt idx="71">
                  <c:v>52.801000000000002</c:v>
                </c:pt>
                <c:pt idx="72">
                  <c:v>52.652000000000001</c:v>
                </c:pt>
                <c:pt idx="73">
                  <c:v>52.366999999999997</c:v>
                </c:pt>
                <c:pt idx="74">
                  <c:v>52.38</c:v>
                </c:pt>
                <c:pt idx="75">
                  <c:v>52.301000000000002</c:v>
                </c:pt>
                <c:pt idx="76">
                  <c:v>52.036999999999999</c:v>
                </c:pt>
                <c:pt idx="77">
                  <c:v>51.936999999999998</c:v>
                </c:pt>
                <c:pt idx="78">
                  <c:v>51.951000000000001</c:v>
                </c:pt>
                <c:pt idx="79">
                  <c:v>52.018999999999998</c:v>
                </c:pt>
                <c:pt idx="80">
                  <c:v>52.215000000000003</c:v>
                </c:pt>
                <c:pt idx="81">
                  <c:v>54.823999999999998</c:v>
                </c:pt>
                <c:pt idx="82">
                  <c:v>65.692999999999998</c:v>
                </c:pt>
                <c:pt idx="83">
                  <c:v>73.415999999999997</c:v>
                </c:pt>
                <c:pt idx="84">
                  <c:v>74.680999999999997</c:v>
                </c:pt>
                <c:pt idx="85">
                  <c:v>74.649000000000001</c:v>
                </c:pt>
                <c:pt idx="86">
                  <c:v>74.516999999999996</c:v>
                </c:pt>
                <c:pt idx="87">
                  <c:v>74.162999999999997</c:v>
                </c:pt>
                <c:pt idx="88">
                  <c:v>73.808999999999997</c:v>
                </c:pt>
                <c:pt idx="89">
                  <c:v>73.313999999999993</c:v>
                </c:pt>
                <c:pt idx="90">
                  <c:v>73.131</c:v>
                </c:pt>
                <c:pt idx="91">
                  <c:v>73.010999999999996</c:v>
                </c:pt>
                <c:pt idx="92">
                  <c:v>72.650999999999996</c:v>
                </c:pt>
                <c:pt idx="93">
                  <c:v>72.391000000000005</c:v>
                </c:pt>
                <c:pt idx="94">
                  <c:v>72.129000000000005</c:v>
                </c:pt>
                <c:pt idx="95">
                  <c:v>71.763000000000005</c:v>
                </c:pt>
                <c:pt idx="96">
                  <c:v>71.510999999999996</c:v>
                </c:pt>
                <c:pt idx="97">
                  <c:v>71.468999999999994</c:v>
                </c:pt>
                <c:pt idx="98">
                  <c:v>71.356999999999999</c:v>
                </c:pt>
                <c:pt idx="99">
                  <c:v>71.215000000000003</c:v>
                </c:pt>
                <c:pt idx="100">
                  <c:v>70.927999999999997</c:v>
                </c:pt>
                <c:pt idx="101">
                  <c:v>70.828999999999994</c:v>
                </c:pt>
                <c:pt idx="102">
                  <c:v>70.832999999999998</c:v>
                </c:pt>
                <c:pt idx="103">
                  <c:v>70.703999999999994</c:v>
                </c:pt>
                <c:pt idx="104">
                  <c:v>70.658000000000001</c:v>
                </c:pt>
                <c:pt idx="105">
                  <c:v>70.323999999999998</c:v>
                </c:pt>
                <c:pt idx="106">
                  <c:v>70.411000000000001</c:v>
                </c:pt>
                <c:pt idx="107">
                  <c:v>70.051000000000002</c:v>
                </c:pt>
                <c:pt idx="108">
                  <c:v>69.873000000000005</c:v>
                </c:pt>
                <c:pt idx="109">
                  <c:v>69.622</c:v>
                </c:pt>
                <c:pt idx="110">
                  <c:v>69.453999999999994</c:v>
                </c:pt>
                <c:pt idx="111">
                  <c:v>69.403999999999996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BD7-194A-BA19-7D1517FB0E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2997247"/>
        <c:axId val="726930687"/>
      </c:scatterChart>
      <c:valAx>
        <c:axId val="762997247"/>
        <c:scaling>
          <c:orientation val="minMax"/>
          <c:max val="9"/>
          <c:min val="0"/>
        </c:scaling>
        <c:delete val="0"/>
        <c:axPos val="b"/>
        <c:majorGridlines>
          <c:spPr>
            <a:ln w="9525" cap="flat" cmpd="sng" algn="ctr">
              <a:solidFill>
                <a:schemeClr val="bg2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300" b="0" i="0" u="none" strike="noStrike" kern="1200" baseline="0">
                    <a:solidFill>
                      <a:schemeClr val="tx1"/>
                    </a:solidFill>
                    <a:latin typeface="NewComputerModern10" pitchFamily="2" charset="77"/>
                    <a:ea typeface="+mn-ea"/>
                    <a:cs typeface="+mn-cs"/>
                  </a:defRPr>
                </a:pPr>
                <a:r>
                  <a:rPr lang="en-US" sz="1300" b="0" i="0">
                    <a:solidFill>
                      <a:schemeClr val="tx1"/>
                    </a:solidFill>
                    <a:latin typeface="NewComputerModern10" pitchFamily="2" charset="77"/>
                  </a:rPr>
                  <a:t>Time [s]</a:t>
                </a:r>
              </a:p>
            </c:rich>
          </c:tx>
          <c:layout>
            <c:manualLayout>
              <c:xMode val="edge"/>
              <c:yMode val="edge"/>
              <c:x val="0.43627642446441267"/>
              <c:y val="0.84527796399372179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NewComputerModern10" pitchFamily="2" charset="77"/>
                <a:ea typeface="+mn-ea"/>
                <a:cs typeface="+mn-cs"/>
              </a:defRPr>
            </a:pPr>
            <a:endParaRPr lang="en-US"/>
          </a:p>
        </c:txPr>
        <c:crossAx val="726930687"/>
        <c:crosses val="autoZero"/>
        <c:crossBetween val="midCat"/>
        <c:majorUnit val="1"/>
      </c:valAx>
      <c:valAx>
        <c:axId val="726930687"/>
        <c:scaling>
          <c:orientation val="minMax"/>
          <c:max val="80"/>
          <c:min val="0"/>
        </c:scaling>
        <c:delete val="0"/>
        <c:axPos val="l"/>
        <c:majorGridlines>
          <c:spPr>
            <a:ln w="9525" cap="flat" cmpd="sng" algn="ctr">
              <a:solidFill>
                <a:schemeClr val="bg2">
                  <a:lumMod val="9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300" b="0" i="0" u="none" strike="noStrike" kern="1200" baseline="0">
                    <a:solidFill>
                      <a:schemeClr val="tx1"/>
                    </a:solidFill>
                    <a:latin typeface="NewComputerModern10" pitchFamily="2" charset="77"/>
                    <a:ea typeface="+mn-ea"/>
                    <a:cs typeface="+mn-cs"/>
                  </a:defRPr>
                </a:pPr>
                <a:r>
                  <a:rPr lang="en-US" sz="1300" b="0" i="0">
                    <a:solidFill>
                      <a:schemeClr val="tx1"/>
                    </a:solidFill>
                    <a:latin typeface="NewComputerModern10" pitchFamily="2" charset="77"/>
                  </a:rPr>
                  <a:t>Thrust Force [g]</a:t>
                </a:r>
              </a:p>
            </c:rich>
          </c:tx>
          <c:layout>
            <c:manualLayout>
              <c:xMode val="edge"/>
              <c:yMode val="edge"/>
              <c:x val="8.5678396054375355E-2"/>
              <c:y val="0.26550410309283451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NewComputerModern10" pitchFamily="2" charset="77"/>
                <a:ea typeface="+mn-ea"/>
                <a:cs typeface="+mn-cs"/>
              </a:defRPr>
            </a:pPr>
            <a:endParaRPr lang="en-US"/>
          </a:p>
        </c:txPr>
        <c:crossAx val="762997247"/>
        <c:crosses val="autoZero"/>
        <c:crossBetween val="midCat"/>
        <c:majorUnit val="10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6977080514631609"/>
          <c:y val="4.0728763072419925E-2"/>
          <c:w val="0.60798240524355562"/>
          <c:h val="0.73915064663638197"/>
        </c:manualLayout>
      </c:layout>
      <c:scatterChart>
        <c:scatterStyle val="lineMarker"/>
        <c:varyColors val="0"/>
        <c:ser>
          <c:idx val="0"/>
          <c:order val="0"/>
          <c:tx>
            <c:v> Datura 2.5" Propeller</c:v>
          </c:tx>
          <c:spPr>
            <a:ln w="25400">
              <a:solidFill>
                <a:schemeClr val="accent3">
                  <a:lumMod val="60000"/>
                  <a:lumOff val="40000"/>
                </a:schemeClr>
              </a:solidFill>
            </a:ln>
          </c:spPr>
          <c:marker>
            <c:symbol val="none"/>
          </c:marker>
          <c:xVal>
            <c:numRef>
              <c:f>'Motor Comparison'!$F$4:$F$114</c:f>
              <c:numCache>
                <c:formatCode>General</c:formatCode>
                <c:ptCount val="111"/>
                <c:pt idx="0">
                  <c:v>-1</c:v>
                </c:pt>
                <c:pt idx="1">
                  <c:v>-0.90443899999999999</c:v>
                </c:pt>
                <c:pt idx="2">
                  <c:v>-0.84075500000000003</c:v>
                </c:pt>
                <c:pt idx="3">
                  <c:v>-0.731904</c:v>
                </c:pt>
                <c:pt idx="4">
                  <c:v>-0.65226800000000007</c:v>
                </c:pt>
                <c:pt idx="5">
                  <c:v>-0.54210999999999998</c:v>
                </c:pt>
                <c:pt idx="6">
                  <c:v>-0.46154499999999998</c:v>
                </c:pt>
                <c:pt idx="7">
                  <c:v>-0.35063299999999997</c:v>
                </c:pt>
                <c:pt idx="8">
                  <c:v>-0.26983599999999996</c:v>
                </c:pt>
                <c:pt idx="9">
                  <c:v>-0.16041399999999995</c:v>
                </c:pt>
                <c:pt idx="10">
                  <c:v>-8.0331999999999959E-2</c:v>
                </c:pt>
                <c:pt idx="11">
                  <c:v>2.9115000000000002E-2</c:v>
                </c:pt>
                <c:pt idx="12">
                  <c:v>0.10937100000000011</c:v>
                </c:pt>
                <c:pt idx="13">
                  <c:v>0.18117800000000006</c:v>
                </c:pt>
                <c:pt idx="14">
                  <c:v>0.29073700000000002</c:v>
                </c:pt>
                <c:pt idx="15">
                  <c:v>0.37094099999999997</c:v>
                </c:pt>
                <c:pt idx="16">
                  <c:v>0.4502790000000001</c:v>
                </c:pt>
                <c:pt idx="17">
                  <c:v>0.5611870000000001</c:v>
                </c:pt>
                <c:pt idx="18">
                  <c:v>0.65108900000000003</c:v>
                </c:pt>
                <c:pt idx="19">
                  <c:v>0.73842099999999999</c:v>
                </c:pt>
                <c:pt idx="20">
                  <c:v>0.85666200000000003</c:v>
                </c:pt>
                <c:pt idx="21">
                  <c:v>0.93431099999999989</c:v>
                </c:pt>
                <c:pt idx="22">
                  <c:v>1.0418790000000002</c:v>
                </c:pt>
                <c:pt idx="23">
                  <c:v>1.1204339999999999</c:v>
                </c:pt>
                <c:pt idx="24">
                  <c:v>1.1820200000000001</c:v>
                </c:pt>
                <c:pt idx="25">
                  <c:v>1.2882180000000001</c:v>
                </c:pt>
                <c:pt idx="26">
                  <c:v>1.3889149999999999</c:v>
                </c:pt>
                <c:pt idx="27">
                  <c:v>1.4946250000000001</c:v>
                </c:pt>
                <c:pt idx="28">
                  <c:v>1.5720519999999998</c:v>
                </c:pt>
                <c:pt idx="29">
                  <c:v>1.6778379999999999</c:v>
                </c:pt>
                <c:pt idx="30">
                  <c:v>1.75597</c:v>
                </c:pt>
                <c:pt idx="31">
                  <c:v>1.8639329999999998</c:v>
                </c:pt>
                <c:pt idx="32">
                  <c:v>1.9426160000000001</c:v>
                </c:pt>
                <c:pt idx="33">
                  <c:v>2.0506039999999999</c:v>
                </c:pt>
                <c:pt idx="34">
                  <c:v>2.129448</c:v>
                </c:pt>
                <c:pt idx="35">
                  <c:v>2.2363</c:v>
                </c:pt>
                <c:pt idx="36">
                  <c:v>2.3143379999999998</c:v>
                </c:pt>
                <c:pt idx="37">
                  <c:v>2.4040349999999999</c:v>
                </c:pt>
                <c:pt idx="38">
                  <c:v>2.4826549999999998</c:v>
                </c:pt>
                <c:pt idx="39">
                  <c:v>2.5913750000000002</c:v>
                </c:pt>
                <c:pt idx="40">
                  <c:v>2.6702870000000001</c:v>
                </c:pt>
                <c:pt idx="41">
                  <c:v>2.7790020000000002</c:v>
                </c:pt>
                <c:pt idx="42">
                  <c:v>2.8576510000000002</c:v>
                </c:pt>
                <c:pt idx="43">
                  <c:v>2.9641120000000001</c:v>
                </c:pt>
                <c:pt idx="44">
                  <c:v>3.042052</c:v>
                </c:pt>
                <c:pt idx="45">
                  <c:v>3.1500620000000001</c:v>
                </c:pt>
                <c:pt idx="46">
                  <c:v>3.2364509999999997</c:v>
                </c:pt>
                <c:pt idx="47">
                  <c:v>3.3435560000000004</c:v>
                </c:pt>
                <c:pt idx="48">
                  <c:v>3.4327949999999996</c:v>
                </c:pt>
                <c:pt idx="49">
                  <c:v>3.4985879999999998</c:v>
                </c:pt>
                <c:pt idx="50">
                  <c:v>3.6166989999999997</c:v>
                </c:pt>
                <c:pt idx="51">
                  <c:v>3.7054020000000003</c:v>
                </c:pt>
                <c:pt idx="52">
                  <c:v>3.7683400000000002</c:v>
                </c:pt>
                <c:pt idx="53">
                  <c:v>3.8750859999999996</c:v>
                </c:pt>
                <c:pt idx="54">
                  <c:v>3.951708</c:v>
                </c:pt>
                <c:pt idx="55">
                  <c:v>4.05722</c:v>
                </c:pt>
                <c:pt idx="56">
                  <c:v>4.1339930000000003</c:v>
                </c:pt>
                <c:pt idx="57">
                  <c:v>4.2417020000000001</c:v>
                </c:pt>
                <c:pt idx="58">
                  <c:v>4.319178</c:v>
                </c:pt>
                <c:pt idx="59">
                  <c:v>4.4245190000000001</c:v>
                </c:pt>
                <c:pt idx="60">
                  <c:v>4.5010640000000004</c:v>
                </c:pt>
                <c:pt idx="61">
                  <c:v>4.6084329999999998</c:v>
                </c:pt>
                <c:pt idx="62">
                  <c:v>4.6851289999999999</c:v>
                </c:pt>
                <c:pt idx="63">
                  <c:v>4.7911260000000002</c:v>
                </c:pt>
                <c:pt idx="64">
                  <c:v>4.8679990000000002</c:v>
                </c:pt>
                <c:pt idx="65">
                  <c:v>4.9731880000000004</c:v>
                </c:pt>
                <c:pt idx="66">
                  <c:v>5.0732499999999998</c:v>
                </c:pt>
                <c:pt idx="67">
                  <c:v>5.1789870000000002</c:v>
                </c:pt>
                <c:pt idx="68">
                  <c:v>5.2563370000000003</c:v>
                </c:pt>
                <c:pt idx="69">
                  <c:v>5.3616609999999998</c:v>
                </c:pt>
                <c:pt idx="70">
                  <c:v>5.438466</c:v>
                </c:pt>
                <c:pt idx="71">
                  <c:v>5.544003</c:v>
                </c:pt>
                <c:pt idx="72">
                  <c:v>5.6209100000000003</c:v>
                </c:pt>
                <c:pt idx="73">
                  <c:v>5.7260429999999998</c:v>
                </c:pt>
                <c:pt idx="74">
                  <c:v>5.8025599999999997</c:v>
                </c:pt>
                <c:pt idx="75">
                  <c:v>5.9080300000000001</c:v>
                </c:pt>
                <c:pt idx="76">
                  <c:v>5.984375</c:v>
                </c:pt>
                <c:pt idx="77">
                  <c:v>6.0907830000000001</c:v>
                </c:pt>
                <c:pt idx="78">
                  <c:v>6.1689910000000001</c:v>
                </c:pt>
                <c:pt idx="79">
                  <c:v>6.2861750000000001</c:v>
                </c:pt>
                <c:pt idx="80">
                  <c:v>6.3643729999999996</c:v>
                </c:pt>
                <c:pt idx="81">
                  <c:v>6.4410600000000002</c:v>
                </c:pt>
                <c:pt idx="82">
                  <c:v>6.5488049999999998</c:v>
                </c:pt>
                <c:pt idx="83">
                  <c:v>6.6386139999999996</c:v>
                </c:pt>
                <c:pt idx="84">
                  <c:v>6.7460760000000004</c:v>
                </c:pt>
                <c:pt idx="85">
                  <c:v>6.8238519999999996</c:v>
                </c:pt>
                <c:pt idx="86">
                  <c:v>6.932436</c:v>
                </c:pt>
                <c:pt idx="87">
                  <c:v>7.0101990000000001</c:v>
                </c:pt>
                <c:pt idx="88">
                  <c:v>7.1161239999999992</c:v>
                </c:pt>
                <c:pt idx="89">
                  <c:v>7.1929390000000009</c:v>
                </c:pt>
                <c:pt idx="90">
                  <c:v>7.2992519999999992</c:v>
                </c:pt>
                <c:pt idx="91">
                  <c:v>7.3766130000000008</c:v>
                </c:pt>
                <c:pt idx="92">
                  <c:v>7.4825289999999995</c:v>
                </c:pt>
                <c:pt idx="93">
                  <c:v>7.5598310000000009</c:v>
                </c:pt>
                <c:pt idx="94">
                  <c:v>7.6658159999999995</c:v>
                </c:pt>
                <c:pt idx="95">
                  <c:v>7.7434639999999995</c:v>
                </c:pt>
                <c:pt idx="96">
                  <c:v>7.8518720000000002</c:v>
                </c:pt>
                <c:pt idx="97">
                  <c:v>7.9300800000000002</c:v>
                </c:pt>
                <c:pt idx="98">
                  <c:v>8.0362720000000003</c:v>
                </c:pt>
                <c:pt idx="99">
                  <c:v>8.1133690000000005</c:v>
                </c:pt>
                <c:pt idx="100">
                  <c:v>8.2009620000000005</c:v>
                </c:pt>
                <c:pt idx="101">
                  <c:v>8.2779419999999995</c:v>
                </c:pt>
                <c:pt idx="102">
                  <c:v>8.3836510000000004</c:v>
                </c:pt>
                <c:pt idx="103">
                  <c:v>8.4604520000000001</c:v>
                </c:pt>
                <c:pt idx="104">
                  <c:v>8.5670780000000004</c:v>
                </c:pt>
                <c:pt idx="105">
                  <c:v>8.6443250000000003</c:v>
                </c:pt>
                <c:pt idx="106">
                  <c:v>8.7507439999999992</c:v>
                </c:pt>
                <c:pt idx="107">
                  <c:v>8.8274019999999993</c:v>
                </c:pt>
                <c:pt idx="108">
                  <c:v>8.9330879999999997</c:v>
                </c:pt>
                <c:pt idx="109">
                  <c:v>9.0342579999999995</c:v>
                </c:pt>
                <c:pt idx="110">
                  <c:v>9.1403669999999995</c:v>
                </c:pt>
              </c:numCache>
            </c:numRef>
          </c:xVal>
          <c:yVal>
            <c:numRef>
              <c:f>'Motor Comparison'!$D$4:$D$114</c:f>
              <c:numCache>
                <c:formatCode>General</c:formatCode>
                <c:ptCount val="111"/>
                <c:pt idx="0">
                  <c:v>0.999</c:v>
                </c:pt>
                <c:pt idx="1">
                  <c:v>0.60029999999999994</c:v>
                </c:pt>
                <c:pt idx="2">
                  <c:v>0.73719999999999997</c:v>
                </c:pt>
                <c:pt idx="3">
                  <c:v>0.74029999999999996</c:v>
                </c:pt>
                <c:pt idx="4">
                  <c:v>0.38169999999999998</c:v>
                </c:pt>
                <c:pt idx="5">
                  <c:v>0.19750000000000001</c:v>
                </c:pt>
                <c:pt idx="6">
                  <c:v>-0.20349999999999999</c:v>
                </c:pt>
                <c:pt idx="7">
                  <c:v>-0.52849999999999997</c:v>
                </c:pt>
                <c:pt idx="8">
                  <c:v>-0.52849999999999997</c:v>
                </c:pt>
                <c:pt idx="9">
                  <c:v>-0.39169999999999999</c:v>
                </c:pt>
                <c:pt idx="10">
                  <c:v>-0.1009</c:v>
                </c:pt>
                <c:pt idx="11">
                  <c:v>-0.37459999999999999</c:v>
                </c:pt>
                <c:pt idx="12">
                  <c:v>-0.27189999999999998</c:v>
                </c:pt>
                <c:pt idx="13">
                  <c:v>0.12139999999999999</c:v>
                </c:pt>
                <c:pt idx="14">
                  <c:v>1.2200000000000001E-2</c:v>
                </c:pt>
                <c:pt idx="15">
                  <c:v>6.4999999999999997E-3</c:v>
                </c:pt>
                <c:pt idx="16">
                  <c:v>0.24260000000000001</c:v>
                </c:pt>
                <c:pt idx="17">
                  <c:v>1.6477999999999999</c:v>
                </c:pt>
                <c:pt idx="18">
                  <c:v>2.6610999999999998</c:v>
                </c:pt>
                <c:pt idx="19">
                  <c:v>2.8913000000000002</c:v>
                </c:pt>
                <c:pt idx="20">
                  <c:v>2.6234999999999999</c:v>
                </c:pt>
                <c:pt idx="21">
                  <c:v>2.8302</c:v>
                </c:pt>
                <c:pt idx="22">
                  <c:v>2.7115999999999998</c:v>
                </c:pt>
                <c:pt idx="23">
                  <c:v>2.7925</c:v>
                </c:pt>
                <c:pt idx="24">
                  <c:v>3.0274999999999999</c:v>
                </c:pt>
                <c:pt idx="25">
                  <c:v>2.6749000000000001</c:v>
                </c:pt>
                <c:pt idx="26">
                  <c:v>2.653</c:v>
                </c:pt>
                <c:pt idx="27">
                  <c:v>2.5158999999999998</c:v>
                </c:pt>
                <c:pt idx="28">
                  <c:v>2.5375000000000001</c:v>
                </c:pt>
                <c:pt idx="29">
                  <c:v>2.8454000000000002</c:v>
                </c:pt>
                <c:pt idx="30">
                  <c:v>2.6402999999999999</c:v>
                </c:pt>
                <c:pt idx="31">
                  <c:v>2.9379</c:v>
                </c:pt>
                <c:pt idx="32">
                  <c:v>2.5817000000000001</c:v>
                </c:pt>
                <c:pt idx="33">
                  <c:v>2.9209000000000001</c:v>
                </c:pt>
                <c:pt idx="34">
                  <c:v>2.9851999999999999</c:v>
                </c:pt>
                <c:pt idx="35">
                  <c:v>2.9036</c:v>
                </c:pt>
                <c:pt idx="36">
                  <c:v>2.6623000000000001</c:v>
                </c:pt>
                <c:pt idx="37">
                  <c:v>2.7730000000000001</c:v>
                </c:pt>
                <c:pt idx="38">
                  <c:v>2.5781000000000001</c:v>
                </c:pt>
                <c:pt idx="39">
                  <c:v>2.6911999999999998</c:v>
                </c:pt>
                <c:pt idx="40">
                  <c:v>3.1955</c:v>
                </c:pt>
                <c:pt idx="41">
                  <c:v>2.8157000000000001</c:v>
                </c:pt>
                <c:pt idx="42">
                  <c:v>3.0268999999999999</c:v>
                </c:pt>
                <c:pt idx="43">
                  <c:v>2.8582000000000001</c:v>
                </c:pt>
                <c:pt idx="44">
                  <c:v>2.9748000000000001</c:v>
                </c:pt>
                <c:pt idx="45">
                  <c:v>2.5438000000000001</c:v>
                </c:pt>
                <c:pt idx="46">
                  <c:v>2.016</c:v>
                </c:pt>
                <c:pt idx="47">
                  <c:v>0.90600000000000003</c:v>
                </c:pt>
                <c:pt idx="48">
                  <c:v>1.5615000000000001</c:v>
                </c:pt>
                <c:pt idx="49">
                  <c:v>2.5348999999999999</c:v>
                </c:pt>
                <c:pt idx="50">
                  <c:v>2.7704</c:v>
                </c:pt>
                <c:pt idx="51">
                  <c:v>2.9986999999999999</c:v>
                </c:pt>
                <c:pt idx="52">
                  <c:v>2.9018999999999999</c:v>
                </c:pt>
                <c:pt idx="53">
                  <c:v>2.9169</c:v>
                </c:pt>
                <c:pt idx="54">
                  <c:v>2.8508</c:v>
                </c:pt>
                <c:pt idx="55">
                  <c:v>2.9262999999999999</c:v>
                </c:pt>
                <c:pt idx="56">
                  <c:v>2.9388999999999998</c:v>
                </c:pt>
                <c:pt idx="57">
                  <c:v>2.9946000000000002</c:v>
                </c:pt>
                <c:pt idx="58">
                  <c:v>2.9721000000000002</c:v>
                </c:pt>
                <c:pt idx="59">
                  <c:v>2.802</c:v>
                </c:pt>
                <c:pt idx="60">
                  <c:v>2.9091999999999998</c:v>
                </c:pt>
                <c:pt idx="61">
                  <c:v>2.9131999999999998</c:v>
                </c:pt>
                <c:pt idx="62">
                  <c:v>2.8321999999999998</c:v>
                </c:pt>
                <c:pt idx="63">
                  <c:v>2.9056000000000002</c:v>
                </c:pt>
                <c:pt idx="64">
                  <c:v>2.8774999999999999</c:v>
                </c:pt>
                <c:pt idx="65">
                  <c:v>3.0242</c:v>
                </c:pt>
                <c:pt idx="66">
                  <c:v>2.8908</c:v>
                </c:pt>
                <c:pt idx="67">
                  <c:v>2.948</c:v>
                </c:pt>
                <c:pt idx="68">
                  <c:v>2.9451999999999998</c:v>
                </c:pt>
                <c:pt idx="69">
                  <c:v>2.8546999999999998</c:v>
                </c:pt>
                <c:pt idx="70">
                  <c:v>3.0790000000000002</c:v>
                </c:pt>
                <c:pt idx="71">
                  <c:v>2.9144999999999999</c:v>
                </c:pt>
                <c:pt idx="72">
                  <c:v>2.7890000000000001</c:v>
                </c:pt>
                <c:pt idx="73">
                  <c:v>2.9925999999999999</c:v>
                </c:pt>
                <c:pt idx="74">
                  <c:v>3.0055000000000001</c:v>
                </c:pt>
                <c:pt idx="75">
                  <c:v>2.9864999999999999</c:v>
                </c:pt>
                <c:pt idx="76">
                  <c:v>2.8649</c:v>
                </c:pt>
                <c:pt idx="77">
                  <c:v>2.9487999999999999</c:v>
                </c:pt>
                <c:pt idx="78">
                  <c:v>2.8477000000000001</c:v>
                </c:pt>
                <c:pt idx="79">
                  <c:v>1.1554</c:v>
                </c:pt>
                <c:pt idx="80">
                  <c:v>1.3522000000000001</c:v>
                </c:pt>
                <c:pt idx="81">
                  <c:v>1.7867999999999999</c:v>
                </c:pt>
                <c:pt idx="82">
                  <c:v>2.4592999999999998</c:v>
                </c:pt>
                <c:pt idx="83">
                  <c:v>2.5922999999999998</c:v>
                </c:pt>
                <c:pt idx="84">
                  <c:v>2.5396999999999998</c:v>
                </c:pt>
                <c:pt idx="85">
                  <c:v>2.5655999999999999</c:v>
                </c:pt>
                <c:pt idx="86">
                  <c:v>2.5834000000000001</c:v>
                </c:pt>
                <c:pt idx="87">
                  <c:v>2.5579999999999998</c:v>
                </c:pt>
                <c:pt idx="88">
                  <c:v>2.5684999999999998</c:v>
                </c:pt>
                <c:pt idx="89">
                  <c:v>2.6013000000000002</c:v>
                </c:pt>
                <c:pt idx="90">
                  <c:v>2.544</c:v>
                </c:pt>
                <c:pt idx="91">
                  <c:v>2.5499000000000001</c:v>
                </c:pt>
                <c:pt idx="92">
                  <c:v>2.5813000000000001</c:v>
                </c:pt>
                <c:pt idx="93">
                  <c:v>2.6185</c:v>
                </c:pt>
                <c:pt idx="94">
                  <c:v>2.5886999999999998</c:v>
                </c:pt>
                <c:pt idx="95">
                  <c:v>2.6004</c:v>
                </c:pt>
                <c:pt idx="96">
                  <c:v>2.6000999999999999</c:v>
                </c:pt>
                <c:pt idx="97">
                  <c:v>2.6193</c:v>
                </c:pt>
                <c:pt idx="98">
                  <c:v>2.6012</c:v>
                </c:pt>
                <c:pt idx="99">
                  <c:v>2.6044</c:v>
                </c:pt>
                <c:pt idx="100">
                  <c:v>2.5794000000000001</c:v>
                </c:pt>
                <c:pt idx="101">
                  <c:v>2.6461000000000001</c:v>
                </c:pt>
                <c:pt idx="102">
                  <c:v>2.6038999999999999</c:v>
                </c:pt>
                <c:pt idx="103">
                  <c:v>2.65</c:v>
                </c:pt>
                <c:pt idx="104">
                  <c:v>2.5969000000000002</c:v>
                </c:pt>
                <c:pt idx="105">
                  <c:v>2.6718000000000002</c:v>
                </c:pt>
                <c:pt idx="106">
                  <c:v>2.6478999999999999</c:v>
                </c:pt>
                <c:pt idx="107">
                  <c:v>2.6149</c:v>
                </c:pt>
                <c:pt idx="108">
                  <c:v>2.6478000000000002</c:v>
                </c:pt>
                <c:pt idx="109">
                  <c:v>2.61</c:v>
                </c:pt>
                <c:pt idx="110">
                  <c:v>2.6006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26-8D40-B375-1DBEEFC1F95C}"/>
            </c:ext>
          </c:extLst>
        </c:ser>
        <c:ser>
          <c:idx val="5"/>
          <c:order val="1"/>
          <c:tx>
            <c:v> Datura 3" Propeller</c:v>
          </c:tx>
          <c:spPr>
            <a:ln w="25400">
              <a:solidFill>
                <a:schemeClr val="accent5">
                  <a:lumMod val="60000"/>
                  <a:lumOff val="40000"/>
                </a:schemeClr>
              </a:solidFill>
            </a:ln>
          </c:spPr>
          <c:marker>
            <c:symbol val="none"/>
          </c:marker>
          <c:xVal>
            <c:numRef>
              <c:f>'Motor Comparison'!$L$4:$L$114</c:f>
              <c:numCache>
                <c:formatCode>General</c:formatCode>
                <c:ptCount val="111"/>
                <c:pt idx="0">
                  <c:v>-1</c:v>
                </c:pt>
                <c:pt idx="1">
                  <c:v>-0.93384100000000003</c:v>
                </c:pt>
                <c:pt idx="2">
                  <c:v>-0.82036200000000004</c:v>
                </c:pt>
                <c:pt idx="3">
                  <c:v>-0.74048099999999994</c:v>
                </c:pt>
                <c:pt idx="4">
                  <c:v>-0.58836200000000005</c:v>
                </c:pt>
                <c:pt idx="5">
                  <c:v>-0.47752600000000001</c:v>
                </c:pt>
                <c:pt idx="6">
                  <c:v>-0.39816099999999999</c:v>
                </c:pt>
                <c:pt idx="7">
                  <c:v>-0.333731</c:v>
                </c:pt>
                <c:pt idx="8">
                  <c:v>-0.222557</c:v>
                </c:pt>
                <c:pt idx="9">
                  <c:v>-0.14262600000000003</c:v>
                </c:pt>
                <c:pt idx="10">
                  <c:v>-7.8313999999999995E-2</c:v>
                </c:pt>
                <c:pt idx="11">
                  <c:v>1.4739999999999975E-2</c:v>
                </c:pt>
                <c:pt idx="12">
                  <c:v>0.11880000000000002</c:v>
                </c:pt>
                <c:pt idx="13">
                  <c:v>0.19204500000000002</c:v>
                </c:pt>
                <c:pt idx="14">
                  <c:v>0.30304200000000003</c:v>
                </c:pt>
                <c:pt idx="15">
                  <c:v>0.38240500000000011</c:v>
                </c:pt>
                <c:pt idx="16">
                  <c:v>0.44741699999999995</c:v>
                </c:pt>
                <c:pt idx="17">
                  <c:v>0.57223599999999997</c:v>
                </c:pt>
                <c:pt idx="18">
                  <c:v>0.65201200000000004</c:v>
                </c:pt>
                <c:pt idx="19">
                  <c:v>0.72675000000000001</c:v>
                </c:pt>
                <c:pt idx="20">
                  <c:v>0.8473170000000001</c:v>
                </c:pt>
                <c:pt idx="21">
                  <c:v>0.92535499999999993</c:v>
                </c:pt>
                <c:pt idx="22">
                  <c:v>1.014815</c:v>
                </c:pt>
                <c:pt idx="23">
                  <c:v>1.0925210000000001</c:v>
                </c:pt>
                <c:pt idx="24">
                  <c:v>1.2011599999999998</c:v>
                </c:pt>
                <c:pt idx="25">
                  <c:v>1.2782610000000001</c:v>
                </c:pt>
                <c:pt idx="26">
                  <c:v>1.387178</c:v>
                </c:pt>
                <c:pt idx="27">
                  <c:v>1.4649320000000001</c:v>
                </c:pt>
                <c:pt idx="28">
                  <c:v>1.5726239999999998</c:v>
                </c:pt>
                <c:pt idx="29">
                  <c:v>1.6499459999999999</c:v>
                </c:pt>
                <c:pt idx="30">
                  <c:v>1.75787</c:v>
                </c:pt>
                <c:pt idx="31">
                  <c:v>1.8352270000000002</c:v>
                </c:pt>
                <c:pt idx="32">
                  <c:v>1.9429340000000002</c:v>
                </c:pt>
                <c:pt idx="33">
                  <c:v>2.0206300000000001</c:v>
                </c:pt>
                <c:pt idx="34">
                  <c:v>2.1302249999999998</c:v>
                </c:pt>
                <c:pt idx="35">
                  <c:v>2.207821</c:v>
                </c:pt>
                <c:pt idx="36">
                  <c:v>2.3161849999999999</c:v>
                </c:pt>
                <c:pt idx="37">
                  <c:v>2.3936220000000001</c:v>
                </c:pt>
                <c:pt idx="38">
                  <c:v>2.5021689999999999</c:v>
                </c:pt>
                <c:pt idx="39">
                  <c:v>2.581251</c:v>
                </c:pt>
                <c:pt idx="40">
                  <c:v>2.6888860000000001</c:v>
                </c:pt>
                <c:pt idx="41">
                  <c:v>2.7693400000000001</c:v>
                </c:pt>
                <c:pt idx="42">
                  <c:v>2.8780929999999998</c:v>
                </c:pt>
                <c:pt idx="43">
                  <c:v>2.9557190000000002</c:v>
                </c:pt>
                <c:pt idx="44">
                  <c:v>3.0644150000000003</c:v>
                </c:pt>
                <c:pt idx="45">
                  <c:v>3.1422470000000002</c:v>
                </c:pt>
                <c:pt idx="46">
                  <c:v>3.2055850000000001</c:v>
                </c:pt>
                <c:pt idx="47">
                  <c:v>3.32186</c:v>
                </c:pt>
                <c:pt idx="48">
                  <c:v>3.3997580000000003</c:v>
                </c:pt>
                <c:pt idx="49">
                  <c:v>3.5143380000000004</c:v>
                </c:pt>
                <c:pt idx="50">
                  <c:v>3.6040859999999997</c:v>
                </c:pt>
                <c:pt idx="51">
                  <c:v>3.6706120000000002</c:v>
                </c:pt>
                <c:pt idx="52">
                  <c:v>3.7919299999999998</c:v>
                </c:pt>
                <c:pt idx="53">
                  <c:v>3.8705530000000001</c:v>
                </c:pt>
                <c:pt idx="54">
                  <c:v>3.9794939999999999</c:v>
                </c:pt>
                <c:pt idx="55">
                  <c:v>4.0578070000000004</c:v>
                </c:pt>
                <c:pt idx="56">
                  <c:v>4.1662949999999999</c:v>
                </c:pt>
                <c:pt idx="57">
                  <c:v>4.2441740000000001</c:v>
                </c:pt>
                <c:pt idx="58">
                  <c:v>4.3527360000000002</c:v>
                </c:pt>
                <c:pt idx="59">
                  <c:v>4.430199</c:v>
                </c:pt>
                <c:pt idx="60">
                  <c:v>4.5379940000000003</c:v>
                </c:pt>
                <c:pt idx="61">
                  <c:v>4.6157149999999998</c:v>
                </c:pt>
                <c:pt idx="62">
                  <c:v>4.7238439999999997</c:v>
                </c:pt>
                <c:pt idx="63">
                  <c:v>4.8012170000000003</c:v>
                </c:pt>
                <c:pt idx="64">
                  <c:v>4.8638399999999997</c:v>
                </c:pt>
                <c:pt idx="65">
                  <c:v>4.9718970000000002</c:v>
                </c:pt>
                <c:pt idx="66">
                  <c:v>5.0491339999999996</c:v>
                </c:pt>
                <c:pt idx="67">
                  <c:v>5.1588789999999998</c:v>
                </c:pt>
                <c:pt idx="68">
                  <c:v>5.2368490000000003</c:v>
                </c:pt>
                <c:pt idx="69">
                  <c:v>5.3456049999999999</c:v>
                </c:pt>
                <c:pt idx="70">
                  <c:v>5.4238799999999996</c:v>
                </c:pt>
                <c:pt idx="71">
                  <c:v>5.5142980000000001</c:v>
                </c:pt>
                <c:pt idx="72">
                  <c:v>5.6167769999999999</c:v>
                </c:pt>
                <c:pt idx="73">
                  <c:v>5.7260530000000003</c:v>
                </c:pt>
                <c:pt idx="74">
                  <c:v>5.8036430000000001</c:v>
                </c:pt>
                <c:pt idx="75">
                  <c:v>5.9118300000000001</c:v>
                </c:pt>
                <c:pt idx="76">
                  <c:v>5.9898689999999997</c:v>
                </c:pt>
                <c:pt idx="77">
                  <c:v>6.0994650000000004</c:v>
                </c:pt>
                <c:pt idx="78">
                  <c:v>6.1781680000000003</c:v>
                </c:pt>
                <c:pt idx="79">
                  <c:v>6.2937279999999998</c:v>
                </c:pt>
                <c:pt idx="80">
                  <c:v>6.3711070000000003</c:v>
                </c:pt>
                <c:pt idx="81">
                  <c:v>6.4335750000000003</c:v>
                </c:pt>
                <c:pt idx="82">
                  <c:v>6.5579559999999999</c:v>
                </c:pt>
                <c:pt idx="83">
                  <c:v>6.6370009999999997</c:v>
                </c:pt>
                <c:pt idx="84">
                  <c:v>6.744802</c:v>
                </c:pt>
                <c:pt idx="85">
                  <c:v>6.8227130000000002</c:v>
                </c:pt>
                <c:pt idx="86">
                  <c:v>6.914428</c:v>
                </c:pt>
                <c:pt idx="87">
                  <c:v>7.0040200000000006</c:v>
                </c:pt>
                <c:pt idx="88">
                  <c:v>7.115202</c:v>
                </c:pt>
                <c:pt idx="89">
                  <c:v>7.1940299999999997</c:v>
                </c:pt>
                <c:pt idx="90">
                  <c:v>7.2579049999999992</c:v>
                </c:pt>
                <c:pt idx="91">
                  <c:v>7.3666859999999996</c:v>
                </c:pt>
                <c:pt idx="92">
                  <c:v>7.4446449999999995</c:v>
                </c:pt>
                <c:pt idx="93">
                  <c:v>7.5530139999999992</c:v>
                </c:pt>
                <c:pt idx="94">
                  <c:v>7.6310140000000004</c:v>
                </c:pt>
                <c:pt idx="95">
                  <c:v>7.7396919999999998</c:v>
                </c:pt>
                <c:pt idx="96">
                  <c:v>7.817043</c:v>
                </c:pt>
                <c:pt idx="97">
                  <c:v>7.9263370000000002</c:v>
                </c:pt>
                <c:pt idx="98">
                  <c:v>8.0046579999999992</c:v>
                </c:pt>
                <c:pt idx="99">
                  <c:v>8.1139600000000005</c:v>
                </c:pt>
                <c:pt idx="100">
                  <c:v>8.1925240000000006</c:v>
                </c:pt>
                <c:pt idx="101">
                  <c:v>8.3015559999999997</c:v>
                </c:pt>
                <c:pt idx="102">
                  <c:v>8.3789560000000005</c:v>
                </c:pt>
                <c:pt idx="103">
                  <c:v>8.4880410000000008</c:v>
                </c:pt>
                <c:pt idx="104">
                  <c:v>8.5662839999999996</c:v>
                </c:pt>
                <c:pt idx="105">
                  <c:v>8.675497</c:v>
                </c:pt>
                <c:pt idx="106">
                  <c:v>8.7537280000000006</c:v>
                </c:pt>
                <c:pt idx="107">
                  <c:v>8.8639060000000001</c:v>
                </c:pt>
                <c:pt idx="108">
                  <c:v>8.9434819999999995</c:v>
                </c:pt>
                <c:pt idx="109">
                  <c:v>9.0081260000000007</c:v>
                </c:pt>
                <c:pt idx="110">
                  <c:v>9.1183929999999993</c:v>
                </c:pt>
              </c:numCache>
            </c:numRef>
          </c:xVal>
          <c:yVal>
            <c:numRef>
              <c:f>'Motor Comparison'!$J$4:$J$115</c:f>
              <c:numCache>
                <c:formatCode>General</c:formatCode>
                <c:ptCount val="112"/>
                <c:pt idx="0">
                  <c:v>0.88819999999999999</c:v>
                </c:pt>
                <c:pt idx="1">
                  <c:v>1.1248</c:v>
                </c:pt>
                <c:pt idx="2">
                  <c:v>1.8653</c:v>
                </c:pt>
                <c:pt idx="3">
                  <c:v>1.2824</c:v>
                </c:pt>
                <c:pt idx="4">
                  <c:v>0.82</c:v>
                </c:pt>
                <c:pt idx="5">
                  <c:v>0.88819999999999999</c:v>
                </c:pt>
                <c:pt idx="6">
                  <c:v>1.4601</c:v>
                </c:pt>
                <c:pt idx="7">
                  <c:v>1.5740000000000001</c:v>
                </c:pt>
                <c:pt idx="8">
                  <c:v>0.83520000000000005</c:v>
                </c:pt>
                <c:pt idx="9">
                  <c:v>1.3168</c:v>
                </c:pt>
                <c:pt idx="10">
                  <c:v>1.4024000000000001</c:v>
                </c:pt>
                <c:pt idx="11">
                  <c:v>1.2618</c:v>
                </c:pt>
                <c:pt idx="12">
                  <c:v>0.59670000000000001</c:v>
                </c:pt>
                <c:pt idx="13">
                  <c:v>-2.35E-2</c:v>
                </c:pt>
                <c:pt idx="14">
                  <c:v>0.24410000000000001</c:v>
                </c:pt>
                <c:pt idx="15">
                  <c:v>1.12E-2</c:v>
                </c:pt>
                <c:pt idx="16">
                  <c:v>4.4600000000000001E-2</c:v>
                </c:pt>
                <c:pt idx="17">
                  <c:v>0.82709999999999995</c:v>
                </c:pt>
                <c:pt idx="18">
                  <c:v>2.5909</c:v>
                </c:pt>
                <c:pt idx="19">
                  <c:v>3.2951999999999999</c:v>
                </c:pt>
                <c:pt idx="20">
                  <c:v>3.181</c:v>
                </c:pt>
                <c:pt idx="21">
                  <c:v>2.9821</c:v>
                </c:pt>
                <c:pt idx="22">
                  <c:v>3.3294999999999999</c:v>
                </c:pt>
                <c:pt idx="23">
                  <c:v>3.3447</c:v>
                </c:pt>
                <c:pt idx="24">
                  <c:v>2.9868000000000001</c:v>
                </c:pt>
                <c:pt idx="25">
                  <c:v>2.9746999999999999</c:v>
                </c:pt>
                <c:pt idx="26">
                  <c:v>3.2648999999999999</c:v>
                </c:pt>
                <c:pt idx="27">
                  <c:v>3.0928</c:v>
                </c:pt>
                <c:pt idx="28">
                  <c:v>3.2574999999999998</c:v>
                </c:pt>
                <c:pt idx="29">
                  <c:v>3.1379000000000001</c:v>
                </c:pt>
                <c:pt idx="30">
                  <c:v>3.0529000000000002</c:v>
                </c:pt>
                <c:pt idx="31">
                  <c:v>3.1882000000000001</c:v>
                </c:pt>
                <c:pt idx="32">
                  <c:v>2.9931000000000001</c:v>
                </c:pt>
                <c:pt idx="33">
                  <c:v>2.9512999999999998</c:v>
                </c:pt>
                <c:pt idx="34">
                  <c:v>3.2829999999999999</c:v>
                </c:pt>
                <c:pt idx="35">
                  <c:v>3.1048</c:v>
                </c:pt>
                <c:pt idx="36">
                  <c:v>3.2786</c:v>
                </c:pt>
                <c:pt idx="37">
                  <c:v>3.0495000000000001</c:v>
                </c:pt>
                <c:pt idx="38">
                  <c:v>2.9706000000000001</c:v>
                </c:pt>
                <c:pt idx="39">
                  <c:v>2.9136000000000002</c:v>
                </c:pt>
                <c:pt idx="40">
                  <c:v>3.2090999999999998</c:v>
                </c:pt>
                <c:pt idx="41">
                  <c:v>3.3405999999999998</c:v>
                </c:pt>
                <c:pt idx="42">
                  <c:v>3.2450999999999999</c:v>
                </c:pt>
                <c:pt idx="43">
                  <c:v>2.9264999999999999</c:v>
                </c:pt>
                <c:pt idx="44">
                  <c:v>3.0463</c:v>
                </c:pt>
                <c:pt idx="45">
                  <c:v>3.1076000000000001</c:v>
                </c:pt>
                <c:pt idx="46">
                  <c:v>2.9990000000000001</c:v>
                </c:pt>
                <c:pt idx="47">
                  <c:v>0.91539999999999999</c:v>
                </c:pt>
                <c:pt idx="48">
                  <c:v>1.575</c:v>
                </c:pt>
                <c:pt idx="49">
                  <c:v>2.6953</c:v>
                </c:pt>
                <c:pt idx="50">
                  <c:v>3.0836000000000001</c:v>
                </c:pt>
                <c:pt idx="51">
                  <c:v>3.2867999999999999</c:v>
                </c:pt>
                <c:pt idx="52">
                  <c:v>3.3346</c:v>
                </c:pt>
                <c:pt idx="53">
                  <c:v>3.3996</c:v>
                </c:pt>
                <c:pt idx="54">
                  <c:v>3.2288999999999999</c:v>
                </c:pt>
                <c:pt idx="55">
                  <c:v>3.3772000000000002</c:v>
                </c:pt>
                <c:pt idx="56">
                  <c:v>3.1892</c:v>
                </c:pt>
                <c:pt idx="57">
                  <c:v>3.2158000000000002</c:v>
                </c:pt>
                <c:pt idx="58">
                  <c:v>3.0731999999999999</c:v>
                </c:pt>
                <c:pt idx="59">
                  <c:v>3.3214999999999999</c:v>
                </c:pt>
                <c:pt idx="60">
                  <c:v>3.3081</c:v>
                </c:pt>
                <c:pt idx="61">
                  <c:v>3.1829999999999998</c:v>
                </c:pt>
                <c:pt idx="62">
                  <c:v>3.3121</c:v>
                </c:pt>
                <c:pt idx="63">
                  <c:v>3.1932999999999998</c:v>
                </c:pt>
                <c:pt idx="64">
                  <c:v>3.2885</c:v>
                </c:pt>
                <c:pt idx="65">
                  <c:v>3.1897000000000002</c:v>
                </c:pt>
                <c:pt idx="66">
                  <c:v>3.2835000000000001</c:v>
                </c:pt>
                <c:pt idx="67">
                  <c:v>3.3108</c:v>
                </c:pt>
                <c:pt idx="68">
                  <c:v>3.3254999999999999</c:v>
                </c:pt>
                <c:pt idx="69">
                  <c:v>3.3005</c:v>
                </c:pt>
                <c:pt idx="70">
                  <c:v>3.2822</c:v>
                </c:pt>
                <c:pt idx="71">
                  <c:v>3.4159000000000002</c:v>
                </c:pt>
                <c:pt idx="72">
                  <c:v>3.3056000000000001</c:v>
                </c:pt>
                <c:pt idx="73">
                  <c:v>3.3353999999999999</c:v>
                </c:pt>
                <c:pt idx="74">
                  <c:v>3.2395</c:v>
                </c:pt>
                <c:pt idx="75">
                  <c:v>3.3161</c:v>
                </c:pt>
                <c:pt idx="76">
                  <c:v>3.2320000000000002</c:v>
                </c:pt>
                <c:pt idx="77">
                  <c:v>3.4266000000000001</c:v>
                </c:pt>
                <c:pt idx="78">
                  <c:v>3.2818000000000001</c:v>
                </c:pt>
                <c:pt idx="79">
                  <c:v>3.4028</c:v>
                </c:pt>
                <c:pt idx="80">
                  <c:v>1.4237</c:v>
                </c:pt>
                <c:pt idx="81">
                  <c:v>1.9072</c:v>
                </c:pt>
                <c:pt idx="82">
                  <c:v>2.6080999999999999</c:v>
                </c:pt>
                <c:pt idx="83">
                  <c:v>2.9119999999999999</c:v>
                </c:pt>
                <c:pt idx="84">
                  <c:v>3.0272999999999999</c:v>
                </c:pt>
                <c:pt idx="85">
                  <c:v>2.9598</c:v>
                </c:pt>
                <c:pt idx="86">
                  <c:v>2.9483999999999999</c:v>
                </c:pt>
                <c:pt idx="87">
                  <c:v>2.9567999999999999</c:v>
                </c:pt>
                <c:pt idx="88">
                  <c:v>2.9401000000000002</c:v>
                </c:pt>
                <c:pt idx="89">
                  <c:v>2.9119999999999999</c:v>
                </c:pt>
                <c:pt idx="90">
                  <c:v>2.8976999999999999</c:v>
                </c:pt>
                <c:pt idx="91">
                  <c:v>2.9980000000000002</c:v>
                </c:pt>
                <c:pt idx="92">
                  <c:v>2.99</c:v>
                </c:pt>
                <c:pt idx="93">
                  <c:v>2.8186</c:v>
                </c:pt>
                <c:pt idx="94">
                  <c:v>2.9460000000000002</c:v>
                </c:pt>
                <c:pt idx="95">
                  <c:v>3.0310999999999999</c:v>
                </c:pt>
                <c:pt idx="96">
                  <c:v>2.9308000000000001</c:v>
                </c:pt>
                <c:pt idx="97">
                  <c:v>2.9582999999999999</c:v>
                </c:pt>
                <c:pt idx="98">
                  <c:v>2.9876</c:v>
                </c:pt>
                <c:pt idx="99">
                  <c:v>3.0171000000000001</c:v>
                </c:pt>
                <c:pt idx="100">
                  <c:v>2.9567999999999999</c:v>
                </c:pt>
                <c:pt idx="101">
                  <c:v>2.9660000000000002</c:v>
                </c:pt>
                <c:pt idx="102">
                  <c:v>2.9177</c:v>
                </c:pt>
                <c:pt idx="103">
                  <c:v>2.9792999999999998</c:v>
                </c:pt>
                <c:pt idx="104">
                  <c:v>2.9992999999999999</c:v>
                </c:pt>
                <c:pt idx="105">
                  <c:v>2.9403000000000001</c:v>
                </c:pt>
                <c:pt idx="106">
                  <c:v>2.9981</c:v>
                </c:pt>
                <c:pt idx="107">
                  <c:v>2.9676</c:v>
                </c:pt>
                <c:pt idx="108">
                  <c:v>2.99</c:v>
                </c:pt>
                <c:pt idx="109">
                  <c:v>2.9866999999999999</c:v>
                </c:pt>
                <c:pt idx="110">
                  <c:v>2.9474999999999998</c:v>
                </c:pt>
                <c:pt idx="111">
                  <c:v>2.9649000000000001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C26-8D40-B375-1DBEEFC1F95C}"/>
            </c:ext>
          </c:extLst>
        </c:ser>
        <c:ser>
          <c:idx val="6"/>
          <c:order val="2"/>
          <c:tx>
            <c:v> Robo 2.5" Propeller</c:v>
          </c:tx>
          <c:spPr>
            <a:ln w="25400">
              <a:solidFill>
                <a:schemeClr val="accent2">
                  <a:lumMod val="60000"/>
                  <a:lumOff val="40000"/>
                </a:schemeClr>
              </a:solidFill>
            </a:ln>
          </c:spPr>
          <c:marker>
            <c:symbol val="none"/>
          </c:marker>
          <c:xVal>
            <c:numRef>
              <c:f>'Motor Comparison'!$S$4:$S$114</c:f>
              <c:numCache>
                <c:formatCode>General</c:formatCode>
                <c:ptCount val="111"/>
                <c:pt idx="0">
                  <c:v>-1</c:v>
                </c:pt>
                <c:pt idx="1">
                  <c:v>-0.88232900000000003</c:v>
                </c:pt>
                <c:pt idx="2">
                  <c:v>-0.75747399999999998</c:v>
                </c:pt>
                <c:pt idx="3">
                  <c:v>-0.69316299999999997</c:v>
                </c:pt>
                <c:pt idx="4">
                  <c:v>-0.57098000000000004</c:v>
                </c:pt>
                <c:pt idx="5">
                  <c:v>-0.48970100000000005</c:v>
                </c:pt>
                <c:pt idx="6">
                  <c:v>-0.40806299999999995</c:v>
                </c:pt>
                <c:pt idx="7">
                  <c:v>-0.32796099999999995</c:v>
                </c:pt>
                <c:pt idx="8">
                  <c:v>-0.20987</c:v>
                </c:pt>
                <c:pt idx="9">
                  <c:v>-0.13083100000000003</c:v>
                </c:pt>
                <c:pt idx="10">
                  <c:v>-5.2189000000000041E-2</c:v>
                </c:pt>
                <c:pt idx="11">
                  <c:v>2.6130999999999904E-2</c:v>
                </c:pt>
                <c:pt idx="12">
                  <c:v>0.143451</c:v>
                </c:pt>
                <c:pt idx="13">
                  <c:v>0.20504999999999995</c:v>
                </c:pt>
                <c:pt idx="14">
                  <c:v>0.33019599999999993</c:v>
                </c:pt>
                <c:pt idx="15">
                  <c:v>0.40748600000000001</c:v>
                </c:pt>
                <c:pt idx="16">
                  <c:v>0.48618600000000001</c:v>
                </c:pt>
                <c:pt idx="17">
                  <c:v>0.579677</c:v>
                </c:pt>
                <c:pt idx="18">
                  <c:v>0.67262</c:v>
                </c:pt>
                <c:pt idx="19">
                  <c:v>0.75969799999999998</c:v>
                </c:pt>
                <c:pt idx="20">
                  <c:v>0.8757140000000001</c:v>
                </c:pt>
                <c:pt idx="21">
                  <c:v>0.95455200000000007</c:v>
                </c:pt>
                <c:pt idx="22">
                  <c:v>1.0335999999999999</c:v>
                </c:pt>
                <c:pt idx="23">
                  <c:v>1.1524730000000001</c:v>
                </c:pt>
                <c:pt idx="24">
                  <c:v>1.2307839999999999</c:v>
                </c:pt>
                <c:pt idx="25">
                  <c:v>1.3079939999999999</c:v>
                </c:pt>
                <c:pt idx="26">
                  <c:v>1.4246189999999999</c:v>
                </c:pt>
                <c:pt idx="27">
                  <c:v>1.4994480000000001</c:v>
                </c:pt>
                <c:pt idx="28">
                  <c:v>1.615386</c:v>
                </c:pt>
                <c:pt idx="29">
                  <c:v>1.6901679999999999</c:v>
                </c:pt>
                <c:pt idx="30">
                  <c:v>1.7662819999999999</c:v>
                </c:pt>
                <c:pt idx="31">
                  <c:v>1.8828330000000002</c:v>
                </c:pt>
                <c:pt idx="32">
                  <c:v>1.9588899999999998</c:v>
                </c:pt>
                <c:pt idx="33">
                  <c:v>2.0748099999999998</c:v>
                </c:pt>
                <c:pt idx="34">
                  <c:v>2.1503839999999999</c:v>
                </c:pt>
                <c:pt idx="35">
                  <c:v>2.2259639999999998</c:v>
                </c:pt>
                <c:pt idx="36">
                  <c:v>2.340751</c:v>
                </c:pt>
                <c:pt idx="37">
                  <c:v>2.4160699999999999</c:v>
                </c:pt>
                <c:pt idx="38">
                  <c:v>2.5329199999999998</c:v>
                </c:pt>
                <c:pt idx="39">
                  <c:v>2.6085959999999999</c:v>
                </c:pt>
                <c:pt idx="40">
                  <c:v>2.6854520000000002</c:v>
                </c:pt>
                <c:pt idx="41">
                  <c:v>2.80287</c:v>
                </c:pt>
                <c:pt idx="42">
                  <c:v>2.8803899999999998</c:v>
                </c:pt>
                <c:pt idx="43">
                  <c:v>2.9963860000000002</c:v>
                </c:pt>
                <c:pt idx="44">
                  <c:v>3.0728299999999997</c:v>
                </c:pt>
                <c:pt idx="45">
                  <c:v>3.1493359999999999</c:v>
                </c:pt>
                <c:pt idx="46">
                  <c:v>3.2657790000000002</c:v>
                </c:pt>
                <c:pt idx="47">
                  <c:v>3.3504050000000003</c:v>
                </c:pt>
                <c:pt idx="48">
                  <c:v>3.4264549999999998</c:v>
                </c:pt>
                <c:pt idx="49">
                  <c:v>3.5172299999999996</c:v>
                </c:pt>
                <c:pt idx="50">
                  <c:v>3.6342460000000001</c:v>
                </c:pt>
                <c:pt idx="51">
                  <c:v>3.7116470000000001</c:v>
                </c:pt>
                <c:pt idx="52">
                  <c:v>3.7878749999999997</c:v>
                </c:pt>
                <c:pt idx="53">
                  <c:v>3.9056940000000004</c:v>
                </c:pt>
                <c:pt idx="54">
                  <c:v>3.9826689999999996</c:v>
                </c:pt>
                <c:pt idx="55">
                  <c:v>4.0993199999999996</c:v>
                </c:pt>
                <c:pt idx="56">
                  <c:v>4.1751519999999998</c:v>
                </c:pt>
                <c:pt idx="57">
                  <c:v>4.2515179999999999</c:v>
                </c:pt>
                <c:pt idx="58">
                  <c:v>4.3691579999999997</c:v>
                </c:pt>
                <c:pt idx="59">
                  <c:v>4.4445230000000002</c:v>
                </c:pt>
                <c:pt idx="60">
                  <c:v>4.5485420000000003</c:v>
                </c:pt>
                <c:pt idx="61">
                  <c:v>4.6204169999999998</c:v>
                </c:pt>
                <c:pt idx="62">
                  <c:v>4.7382559999999998</c:v>
                </c:pt>
                <c:pt idx="63">
                  <c:v>4.8036269999999996</c:v>
                </c:pt>
                <c:pt idx="64">
                  <c:v>4.9298209999999996</c:v>
                </c:pt>
                <c:pt idx="65">
                  <c:v>5.0119160000000003</c:v>
                </c:pt>
                <c:pt idx="66">
                  <c:v>5.0948310000000001</c:v>
                </c:pt>
                <c:pt idx="67">
                  <c:v>5.1778079999999997</c:v>
                </c:pt>
                <c:pt idx="68">
                  <c:v>5.2624240000000002</c:v>
                </c:pt>
                <c:pt idx="69">
                  <c:v>5.3800689999999998</c:v>
                </c:pt>
                <c:pt idx="70">
                  <c:v>5.4591969999999996</c:v>
                </c:pt>
                <c:pt idx="71">
                  <c:v>5.5757779999999997</c:v>
                </c:pt>
                <c:pt idx="72">
                  <c:v>5.6521429999999997</c:v>
                </c:pt>
                <c:pt idx="73">
                  <c:v>5.7327820000000003</c:v>
                </c:pt>
                <c:pt idx="74">
                  <c:v>5.8174929999999998</c:v>
                </c:pt>
                <c:pt idx="75">
                  <c:v>5.9405859999999997</c:v>
                </c:pt>
                <c:pt idx="76">
                  <c:v>6.0026989999999998</c:v>
                </c:pt>
                <c:pt idx="77">
                  <c:v>6.1223890000000001</c:v>
                </c:pt>
                <c:pt idx="78">
                  <c:v>6.2009350000000003</c:v>
                </c:pt>
                <c:pt idx="79">
                  <c:v>6.2784639999999996</c:v>
                </c:pt>
                <c:pt idx="80">
                  <c:v>6.4039729999999997</c:v>
                </c:pt>
                <c:pt idx="81">
                  <c:v>6.4810809999999996</c:v>
                </c:pt>
                <c:pt idx="82">
                  <c:v>6.5750640000000002</c:v>
                </c:pt>
                <c:pt idx="83">
                  <c:v>6.6575110000000004</c:v>
                </c:pt>
                <c:pt idx="84">
                  <c:v>6.7387819999999996</c:v>
                </c:pt>
                <c:pt idx="85">
                  <c:v>6.8479539999999997</c:v>
                </c:pt>
                <c:pt idx="86">
                  <c:v>6.9219860000000004</c:v>
                </c:pt>
                <c:pt idx="87">
                  <c:v>7.0383089999999999</c:v>
                </c:pt>
                <c:pt idx="88">
                  <c:v>7.11538</c:v>
                </c:pt>
                <c:pt idx="89">
                  <c:v>7.2325520000000001</c:v>
                </c:pt>
                <c:pt idx="90">
                  <c:v>7.3095780000000001</c:v>
                </c:pt>
                <c:pt idx="91">
                  <c:v>7.3883880000000008</c:v>
                </c:pt>
                <c:pt idx="92">
                  <c:v>7.5040990000000001</c:v>
                </c:pt>
                <c:pt idx="93">
                  <c:v>7.5814409999999999</c:v>
                </c:pt>
                <c:pt idx="94">
                  <c:v>7.6573370000000001</c:v>
                </c:pt>
                <c:pt idx="95">
                  <c:v>7.7791169999999994</c:v>
                </c:pt>
                <c:pt idx="96">
                  <c:v>7.8617910000000002</c:v>
                </c:pt>
                <c:pt idx="97">
                  <c:v>7.9453340000000008</c:v>
                </c:pt>
                <c:pt idx="98">
                  <c:v>8.0286179999999998</c:v>
                </c:pt>
                <c:pt idx="99">
                  <c:v>8.1517730000000004</c:v>
                </c:pt>
                <c:pt idx="100">
                  <c:v>8.2304680000000001</c:v>
                </c:pt>
                <c:pt idx="101">
                  <c:v>8.3084120000000006</c:v>
                </c:pt>
                <c:pt idx="102">
                  <c:v>8.4253280000000004</c:v>
                </c:pt>
                <c:pt idx="103">
                  <c:v>8.5024610000000003</c:v>
                </c:pt>
                <c:pt idx="104">
                  <c:v>8.5820550000000004</c:v>
                </c:pt>
                <c:pt idx="105">
                  <c:v>8.6994319999999998</c:v>
                </c:pt>
                <c:pt idx="106">
                  <c:v>8.7769549999999992</c:v>
                </c:pt>
                <c:pt idx="107">
                  <c:v>8.8534740000000003</c:v>
                </c:pt>
                <c:pt idx="108">
                  <c:v>8.9697359999999993</c:v>
                </c:pt>
                <c:pt idx="109">
                  <c:v>9.0467049999999993</c:v>
                </c:pt>
                <c:pt idx="110">
                  <c:v>9.1627310000000008</c:v>
                </c:pt>
              </c:numCache>
            </c:numRef>
          </c:xVal>
          <c:yVal>
            <c:numRef>
              <c:f>'Motor Comparison'!$Q$4:$Q$115</c:f>
              <c:numCache>
                <c:formatCode>General</c:formatCode>
                <c:ptCount val="112"/>
                <c:pt idx="0">
                  <c:v>-1.1880999999999999</c:v>
                </c:pt>
                <c:pt idx="1">
                  <c:v>-0.78259999999999996</c:v>
                </c:pt>
                <c:pt idx="2">
                  <c:v>-0.56430000000000002</c:v>
                </c:pt>
                <c:pt idx="3">
                  <c:v>-0.79279999999999995</c:v>
                </c:pt>
                <c:pt idx="4">
                  <c:v>-0.29930000000000001</c:v>
                </c:pt>
                <c:pt idx="5">
                  <c:v>-0.58230000000000004</c:v>
                </c:pt>
                <c:pt idx="6">
                  <c:v>-0.91549999999999998</c:v>
                </c:pt>
                <c:pt idx="7">
                  <c:v>-0.70469999999999999</c:v>
                </c:pt>
                <c:pt idx="8">
                  <c:v>-0.48499999999999999</c:v>
                </c:pt>
                <c:pt idx="9">
                  <c:v>4.9099999999999998E-2</c:v>
                </c:pt>
                <c:pt idx="10">
                  <c:v>-0.45519999999999999</c:v>
                </c:pt>
                <c:pt idx="11">
                  <c:v>-1.006</c:v>
                </c:pt>
                <c:pt idx="12">
                  <c:v>-0.88590000000000002</c:v>
                </c:pt>
                <c:pt idx="13">
                  <c:v>-1.0732999999999999</c:v>
                </c:pt>
                <c:pt idx="14">
                  <c:v>-0.64810000000000001</c:v>
                </c:pt>
                <c:pt idx="15">
                  <c:v>-6.3E-3</c:v>
                </c:pt>
                <c:pt idx="16">
                  <c:v>-8.9999999999999998E-4</c:v>
                </c:pt>
                <c:pt idx="17">
                  <c:v>7.3099999999999998E-2</c:v>
                </c:pt>
                <c:pt idx="18">
                  <c:v>0.4914</c:v>
                </c:pt>
                <c:pt idx="19">
                  <c:v>1.018</c:v>
                </c:pt>
                <c:pt idx="20">
                  <c:v>1.2081</c:v>
                </c:pt>
                <c:pt idx="21">
                  <c:v>1.2585999999999999</c:v>
                </c:pt>
                <c:pt idx="22">
                  <c:v>1.3245</c:v>
                </c:pt>
                <c:pt idx="23">
                  <c:v>1.3105</c:v>
                </c:pt>
                <c:pt idx="24">
                  <c:v>1.2793000000000001</c:v>
                </c:pt>
                <c:pt idx="25">
                  <c:v>1.2914000000000001</c:v>
                </c:pt>
                <c:pt idx="26">
                  <c:v>1.3331</c:v>
                </c:pt>
                <c:pt idx="27">
                  <c:v>1.3008999999999999</c:v>
                </c:pt>
                <c:pt idx="28">
                  <c:v>1.2816000000000001</c:v>
                </c:pt>
                <c:pt idx="29">
                  <c:v>1.3088</c:v>
                </c:pt>
                <c:pt idx="30">
                  <c:v>1.2959000000000001</c:v>
                </c:pt>
                <c:pt idx="31">
                  <c:v>1.2755000000000001</c:v>
                </c:pt>
                <c:pt idx="32">
                  <c:v>1.306</c:v>
                </c:pt>
                <c:pt idx="33">
                  <c:v>1.2677</c:v>
                </c:pt>
                <c:pt idx="34">
                  <c:v>1.2942</c:v>
                </c:pt>
                <c:pt idx="35">
                  <c:v>1.2542</c:v>
                </c:pt>
                <c:pt idx="36">
                  <c:v>1.3090999999999999</c:v>
                </c:pt>
                <c:pt idx="37">
                  <c:v>1.2622</c:v>
                </c:pt>
                <c:pt idx="38">
                  <c:v>1.3015000000000001</c:v>
                </c:pt>
                <c:pt idx="39">
                  <c:v>1.2603</c:v>
                </c:pt>
                <c:pt idx="40">
                  <c:v>1.2846</c:v>
                </c:pt>
                <c:pt idx="41">
                  <c:v>1.2721</c:v>
                </c:pt>
                <c:pt idx="42">
                  <c:v>1.2739</c:v>
                </c:pt>
                <c:pt idx="43">
                  <c:v>1.3049999999999999</c:v>
                </c:pt>
                <c:pt idx="44">
                  <c:v>1.2447999999999999</c:v>
                </c:pt>
                <c:pt idx="45">
                  <c:v>1.2504</c:v>
                </c:pt>
                <c:pt idx="46">
                  <c:v>1.3180000000000001</c:v>
                </c:pt>
                <c:pt idx="47">
                  <c:v>0.51759999999999995</c:v>
                </c:pt>
                <c:pt idx="48">
                  <c:v>0.57779999999999998</c:v>
                </c:pt>
                <c:pt idx="49">
                  <c:v>0.81799999999999995</c:v>
                </c:pt>
                <c:pt idx="50">
                  <c:v>0.99139999999999995</c:v>
                </c:pt>
                <c:pt idx="51">
                  <c:v>1.0172000000000001</c:v>
                </c:pt>
                <c:pt idx="52">
                  <c:v>0.98729999999999996</c:v>
                </c:pt>
                <c:pt idx="53">
                  <c:v>0.97750000000000004</c:v>
                </c:pt>
                <c:pt idx="54">
                  <c:v>0.98680000000000001</c:v>
                </c:pt>
                <c:pt idx="55">
                  <c:v>0.99439999999999995</c:v>
                </c:pt>
                <c:pt idx="56">
                  <c:v>0.98909999999999998</c:v>
                </c:pt>
                <c:pt idx="57">
                  <c:v>0.98980000000000001</c:v>
                </c:pt>
                <c:pt idx="58">
                  <c:v>0.9879</c:v>
                </c:pt>
                <c:pt idx="59">
                  <c:v>1.0024</c:v>
                </c:pt>
                <c:pt idx="60">
                  <c:v>0.98839999999999995</c:v>
                </c:pt>
                <c:pt idx="61">
                  <c:v>1.0081</c:v>
                </c:pt>
                <c:pt idx="62">
                  <c:v>0.98729999999999996</c:v>
                </c:pt>
                <c:pt idx="63">
                  <c:v>0.98809999999999998</c:v>
                </c:pt>
                <c:pt idx="64">
                  <c:v>0.9859</c:v>
                </c:pt>
                <c:pt idx="65">
                  <c:v>1.0224</c:v>
                </c:pt>
                <c:pt idx="66">
                  <c:v>0.97719999999999996</c:v>
                </c:pt>
                <c:pt idx="67">
                  <c:v>1.0063</c:v>
                </c:pt>
                <c:pt idx="68">
                  <c:v>1.0153000000000001</c:v>
                </c:pt>
                <c:pt idx="69">
                  <c:v>0.9677</c:v>
                </c:pt>
                <c:pt idx="70">
                  <c:v>0.98650000000000004</c:v>
                </c:pt>
                <c:pt idx="71">
                  <c:v>1.0004999999999999</c:v>
                </c:pt>
                <c:pt idx="72">
                  <c:v>1.0404</c:v>
                </c:pt>
                <c:pt idx="73">
                  <c:v>1.0065999999999999</c:v>
                </c:pt>
                <c:pt idx="74">
                  <c:v>1.0379</c:v>
                </c:pt>
                <c:pt idx="75">
                  <c:v>1.0186999999999999</c:v>
                </c:pt>
                <c:pt idx="76">
                  <c:v>0.98650000000000004</c:v>
                </c:pt>
                <c:pt idx="77">
                  <c:v>0.99519999999999997</c:v>
                </c:pt>
                <c:pt idx="78">
                  <c:v>1.0065999999999999</c:v>
                </c:pt>
                <c:pt idx="79">
                  <c:v>0.98109999999999997</c:v>
                </c:pt>
                <c:pt idx="80">
                  <c:v>0.56379999999999997</c:v>
                </c:pt>
                <c:pt idx="81">
                  <c:v>0.59309999999999996</c:v>
                </c:pt>
                <c:pt idx="82">
                  <c:v>0.69989999999999997</c:v>
                </c:pt>
                <c:pt idx="83">
                  <c:v>0.81899999999999995</c:v>
                </c:pt>
                <c:pt idx="84">
                  <c:v>0.84699999999999998</c:v>
                </c:pt>
                <c:pt idx="85">
                  <c:v>0.84360000000000002</c:v>
                </c:pt>
                <c:pt idx="86">
                  <c:v>0.85050000000000003</c:v>
                </c:pt>
                <c:pt idx="87">
                  <c:v>0.84379999999999999</c:v>
                </c:pt>
                <c:pt idx="88">
                  <c:v>0.84889999999999999</c:v>
                </c:pt>
                <c:pt idx="89">
                  <c:v>0.84660000000000002</c:v>
                </c:pt>
                <c:pt idx="90">
                  <c:v>0.84799999999999998</c:v>
                </c:pt>
                <c:pt idx="91">
                  <c:v>0.84909999999999997</c:v>
                </c:pt>
                <c:pt idx="92">
                  <c:v>0.84970000000000001</c:v>
                </c:pt>
                <c:pt idx="93">
                  <c:v>0.84899999999999998</c:v>
                </c:pt>
                <c:pt idx="94">
                  <c:v>0.84630000000000005</c:v>
                </c:pt>
                <c:pt idx="95">
                  <c:v>0.84819999999999995</c:v>
                </c:pt>
                <c:pt idx="96">
                  <c:v>0.85240000000000005</c:v>
                </c:pt>
                <c:pt idx="97">
                  <c:v>0.84560000000000002</c:v>
                </c:pt>
                <c:pt idx="98">
                  <c:v>0.85309999999999997</c:v>
                </c:pt>
                <c:pt idx="99">
                  <c:v>0.84989999999999999</c:v>
                </c:pt>
                <c:pt idx="100">
                  <c:v>0.85109999999999997</c:v>
                </c:pt>
                <c:pt idx="101">
                  <c:v>0.84740000000000004</c:v>
                </c:pt>
                <c:pt idx="102">
                  <c:v>0.84650000000000003</c:v>
                </c:pt>
                <c:pt idx="103">
                  <c:v>0.84640000000000004</c:v>
                </c:pt>
                <c:pt idx="104">
                  <c:v>0.84260000000000002</c:v>
                </c:pt>
                <c:pt idx="105">
                  <c:v>0.8468</c:v>
                </c:pt>
                <c:pt idx="106">
                  <c:v>0.85460000000000003</c:v>
                </c:pt>
                <c:pt idx="107">
                  <c:v>0.84670000000000001</c:v>
                </c:pt>
                <c:pt idx="108">
                  <c:v>0.84509999999999996</c:v>
                </c:pt>
                <c:pt idx="109">
                  <c:v>0.85140000000000005</c:v>
                </c:pt>
                <c:pt idx="110">
                  <c:v>0.8498</c:v>
                </c:pt>
                <c:pt idx="111">
                  <c:v>0.84899999999999998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C26-8D40-B375-1DBEEFC1F95C}"/>
            </c:ext>
          </c:extLst>
        </c:ser>
        <c:ser>
          <c:idx val="7"/>
          <c:order val="3"/>
          <c:tx>
            <c:v> Robo 3.5" Propeller</c:v>
          </c:tx>
          <c:spPr>
            <a:ln w="25400">
              <a:solidFill>
                <a:schemeClr val="accent1">
                  <a:lumMod val="60000"/>
                  <a:lumOff val="40000"/>
                </a:schemeClr>
              </a:solidFill>
            </a:ln>
          </c:spPr>
          <c:marker>
            <c:symbol val="none"/>
          </c:marker>
          <c:xVal>
            <c:numRef>
              <c:f>'Motor Comparison'!$Y$4:$Y$114</c:f>
              <c:numCache>
                <c:formatCode>General</c:formatCode>
                <c:ptCount val="111"/>
                <c:pt idx="0">
                  <c:v>-1</c:v>
                </c:pt>
                <c:pt idx="1">
                  <c:v>-0.91095899999999996</c:v>
                </c:pt>
                <c:pt idx="2">
                  <c:v>-0.83438199999999996</c:v>
                </c:pt>
                <c:pt idx="3">
                  <c:v>-0.71794400000000003</c:v>
                </c:pt>
                <c:pt idx="4">
                  <c:v>-0.63907899999999995</c:v>
                </c:pt>
                <c:pt idx="5">
                  <c:v>-0.56165500000000002</c:v>
                </c:pt>
                <c:pt idx="6">
                  <c:v>-0.44645800000000002</c:v>
                </c:pt>
                <c:pt idx="7">
                  <c:v>-0.36814400000000003</c:v>
                </c:pt>
                <c:pt idx="8">
                  <c:v>-0.25129500000000005</c:v>
                </c:pt>
                <c:pt idx="9">
                  <c:v>-0.17538299999999996</c:v>
                </c:pt>
                <c:pt idx="10">
                  <c:v>-9.9663999999999975E-2</c:v>
                </c:pt>
                <c:pt idx="11">
                  <c:v>1.6259000000000023E-2</c:v>
                </c:pt>
                <c:pt idx="12">
                  <c:v>0.11998299999999995</c:v>
                </c:pt>
                <c:pt idx="13">
                  <c:v>0.19993799999999995</c:v>
                </c:pt>
                <c:pt idx="14">
                  <c:v>0.27697499999999997</c:v>
                </c:pt>
                <c:pt idx="15">
                  <c:v>0.39325499999999991</c:v>
                </c:pt>
                <c:pt idx="16">
                  <c:v>0.4694640000000001</c:v>
                </c:pt>
                <c:pt idx="17">
                  <c:v>0.56067299999999998</c:v>
                </c:pt>
                <c:pt idx="18">
                  <c:v>0.66084100000000001</c:v>
                </c:pt>
                <c:pt idx="19">
                  <c:v>0.74910199999999993</c:v>
                </c:pt>
                <c:pt idx="20">
                  <c:v>0.83730900000000008</c:v>
                </c:pt>
                <c:pt idx="21">
                  <c:v>0.92369600000000007</c:v>
                </c:pt>
                <c:pt idx="22">
                  <c:v>1.009582</c:v>
                </c:pt>
                <c:pt idx="23">
                  <c:v>1.1255169999999999</c:v>
                </c:pt>
                <c:pt idx="24">
                  <c:v>1.2011080000000001</c:v>
                </c:pt>
                <c:pt idx="25">
                  <c:v>1.3181940000000001</c:v>
                </c:pt>
                <c:pt idx="26">
                  <c:v>1.3777430000000002</c:v>
                </c:pt>
                <c:pt idx="27">
                  <c:v>1.4930970000000001</c:v>
                </c:pt>
                <c:pt idx="28">
                  <c:v>1.5685120000000001</c:v>
                </c:pt>
                <c:pt idx="29">
                  <c:v>1.6843279999999998</c:v>
                </c:pt>
                <c:pt idx="30">
                  <c:v>1.760078</c:v>
                </c:pt>
                <c:pt idx="31">
                  <c:v>1.835858</c:v>
                </c:pt>
                <c:pt idx="32">
                  <c:v>1.951168</c:v>
                </c:pt>
                <c:pt idx="33">
                  <c:v>2.027253</c:v>
                </c:pt>
                <c:pt idx="34">
                  <c:v>2.14208</c:v>
                </c:pt>
                <c:pt idx="35">
                  <c:v>2.2171959999999999</c:v>
                </c:pt>
                <c:pt idx="36">
                  <c:v>2.3206039999999999</c:v>
                </c:pt>
                <c:pt idx="37">
                  <c:v>2.3917220000000001</c:v>
                </c:pt>
                <c:pt idx="38">
                  <c:v>2.5076559999999999</c:v>
                </c:pt>
                <c:pt idx="39">
                  <c:v>2.5845889999999998</c:v>
                </c:pt>
                <c:pt idx="40">
                  <c:v>2.6613850000000001</c:v>
                </c:pt>
                <c:pt idx="41">
                  <c:v>2.7782279999999999</c:v>
                </c:pt>
                <c:pt idx="42">
                  <c:v>2.8548789999999999</c:v>
                </c:pt>
                <c:pt idx="43">
                  <c:v>2.969814</c:v>
                </c:pt>
                <c:pt idx="44">
                  <c:v>3.0461320000000001</c:v>
                </c:pt>
                <c:pt idx="45">
                  <c:v>3.1223729999999996</c:v>
                </c:pt>
                <c:pt idx="46">
                  <c:v>3.2466939999999997</c:v>
                </c:pt>
                <c:pt idx="47">
                  <c:v>3.3223140000000004</c:v>
                </c:pt>
                <c:pt idx="48">
                  <c:v>3.413246</c:v>
                </c:pt>
                <c:pt idx="49">
                  <c:v>3.4904520000000003</c:v>
                </c:pt>
                <c:pt idx="50">
                  <c:v>3.6072170000000003</c:v>
                </c:pt>
                <c:pt idx="51">
                  <c:v>3.678579</c:v>
                </c:pt>
                <c:pt idx="52">
                  <c:v>3.7954569999999999</c:v>
                </c:pt>
                <c:pt idx="53">
                  <c:v>3.8730739999999999</c:v>
                </c:pt>
                <c:pt idx="54">
                  <c:v>3.9885479999999998</c:v>
                </c:pt>
                <c:pt idx="55">
                  <c:v>4.064425</c:v>
                </c:pt>
                <c:pt idx="56">
                  <c:v>4.1406320000000001</c:v>
                </c:pt>
                <c:pt idx="57">
                  <c:v>4.2562959999999999</c:v>
                </c:pt>
                <c:pt idx="58">
                  <c:v>4.3329510000000004</c:v>
                </c:pt>
                <c:pt idx="59">
                  <c:v>4.4485479999999997</c:v>
                </c:pt>
                <c:pt idx="60">
                  <c:v>4.5256429999999996</c:v>
                </c:pt>
                <c:pt idx="61">
                  <c:v>4.6050890000000004</c:v>
                </c:pt>
                <c:pt idx="62">
                  <c:v>4.7205180000000002</c:v>
                </c:pt>
                <c:pt idx="63">
                  <c:v>4.7973699999999999</c:v>
                </c:pt>
                <c:pt idx="64">
                  <c:v>4.8745240000000001</c:v>
                </c:pt>
                <c:pt idx="65">
                  <c:v>4.9918820000000004</c:v>
                </c:pt>
                <c:pt idx="66">
                  <c:v>5.0683129999999998</c:v>
                </c:pt>
                <c:pt idx="67">
                  <c:v>5.185924</c:v>
                </c:pt>
                <c:pt idx="68">
                  <c:v>5.2634069999999999</c:v>
                </c:pt>
                <c:pt idx="69">
                  <c:v>5.3410640000000003</c:v>
                </c:pt>
                <c:pt idx="70">
                  <c:v>5.4588770000000002</c:v>
                </c:pt>
                <c:pt idx="71">
                  <c:v>5.5374179999999997</c:v>
                </c:pt>
                <c:pt idx="72">
                  <c:v>5.614268</c:v>
                </c:pt>
                <c:pt idx="73">
                  <c:v>5.7315069999999997</c:v>
                </c:pt>
                <c:pt idx="74">
                  <c:v>5.8086690000000001</c:v>
                </c:pt>
                <c:pt idx="75">
                  <c:v>5.8843949999999996</c:v>
                </c:pt>
                <c:pt idx="76">
                  <c:v>5.9994059999999996</c:v>
                </c:pt>
                <c:pt idx="77">
                  <c:v>6.0759449999999999</c:v>
                </c:pt>
                <c:pt idx="78">
                  <c:v>6.1932320000000001</c:v>
                </c:pt>
                <c:pt idx="79">
                  <c:v>6.270003</c:v>
                </c:pt>
                <c:pt idx="80">
                  <c:v>6.3547450000000003</c:v>
                </c:pt>
                <c:pt idx="81">
                  <c:v>6.4719239999999996</c:v>
                </c:pt>
                <c:pt idx="82">
                  <c:v>6.5604620000000002</c:v>
                </c:pt>
                <c:pt idx="83">
                  <c:v>6.6391030000000004</c:v>
                </c:pt>
                <c:pt idx="84">
                  <c:v>6.7172219999999996</c:v>
                </c:pt>
                <c:pt idx="85">
                  <c:v>6.8249490000000002</c:v>
                </c:pt>
                <c:pt idx="86">
                  <c:v>6.8985310000000002</c:v>
                </c:pt>
                <c:pt idx="87">
                  <c:v>7.0155930000000009</c:v>
                </c:pt>
                <c:pt idx="88">
                  <c:v>7.1213529999999992</c:v>
                </c:pt>
                <c:pt idx="89">
                  <c:v>7.1917969999999993</c:v>
                </c:pt>
                <c:pt idx="90">
                  <c:v>7.2692110000000003</c:v>
                </c:pt>
                <c:pt idx="91">
                  <c:v>7.3873219999999993</c:v>
                </c:pt>
                <c:pt idx="92">
                  <c:v>7.4632880000000004</c:v>
                </c:pt>
                <c:pt idx="93">
                  <c:v>7.5792680000000008</c:v>
                </c:pt>
                <c:pt idx="94">
                  <c:v>7.6551559999999998</c:v>
                </c:pt>
                <c:pt idx="95">
                  <c:v>7.7308500000000002</c:v>
                </c:pt>
                <c:pt idx="96">
                  <c:v>7.8468129999999991</c:v>
                </c:pt>
                <c:pt idx="97">
                  <c:v>7.9229090000000006</c:v>
                </c:pt>
                <c:pt idx="98">
                  <c:v>8.0416319999999999</c:v>
                </c:pt>
                <c:pt idx="99">
                  <c:v>8.1185279999999995</c:v>
                </c:pt>
                <c:pt idx="100">
                  <c:v>8.1990820000000006</c:v>
                </c:pt>
                <c:pt idx="101">
                  <c:v>8.3169210000000007</c:v>
                </c:pt>
                <c:pt idx="102">
                  <c:v>8.3778129999999997</c:v>
                </c:pt>
                <c:pt idx="103">
                  <c:v>8.4940079999999991</c:v>
                </c:pt>
                <c:pt idx="104">
                  <c:v>8.5706179999999996</c:v>
                </c:pt>
                <c:pt idx="105">
                  <c:v>8.6482399999999995</c:v>
                </c:pt>
                <c:pt idx="106">
                  <c:v>8.7647519999999997</c:v>
                </c:pt>
                <c:pt idx="107">
                  <c:v>8.8429129999999994</c:v>
                </c:pt>
                <c:pt idx="108">
                  <c:v>8.9614180000000001</c:v>
                </c:pt>
                <c:pt idx="109">
                  <c:v>9.0383829999999996</c:v>
                </c:pt>
                <c:pt idx="110">
                  <c:v>9.11449</c:v>
                </c:pt>
              </c:numCache>
            </c:numRef>
          </c:xVal>
          <c:yVal>
            <c:numRef>
              <c:f>'Motor Comparison'!$W$4:$W$115</c:f>
              <c:numCache>
                <c:formatCode>General</c:formatCode>
                <c:ptCount val="112"/>
                <c:pt idx="0">
                  <c:v>0.21990000000000001</c:v>
                </c:pt>
                <c:pt idx="1">
                  <c:v>0.60540000000000005</c:v>
                </c:pt>
                <c:pt idx="2">
                  <c:v>1.0004999999999999</c:v>
                </c:pt>
                <c:pt idx="3">
                  <c:v>1.0888</c:v>
                </c:pt>
                <c:pt idx="4">
                  <c:v>0.91180000000000005</c:v>
                </c:pt>
                <c:pt idx="5">
                  <c:v>1.0003</c:v>
                </c:pt>
                <c:pt idx="6">
                  <c:v>0.8407</c:v>
                </c:pt>
                <c:pt idx="7">
                  <c:v>0.5746</c:v>
                </c:pt>
                <c:pt idx="8">
                  <c:v>1.4081999999999999</c:v>
                </c:pt>
                <c:pt idx="9">
                  <c:v>1.7718</c:v>
                </c:pt>
                <c:pt idx="10">
                  <c:v>1.4094</c:v>
                </c:pt>
                <c:pt idx="11">
                  <c:v>1.4790000000000001</c:v>
                </c:pt>
                <c:pt idx="12">
                  <c:v>1.6386000000000001</c:v>
                </c:pt>
                <c:pt idx="13">
                  <c:v>1.9051</c:v>
                </c:pt>
                <c:pt idx="14">
                  <c:v>0.7</c:v>
                </c:pt>
                <c:pt idx="15">
                  <c:v>6.1999999999999998E-3</c:v>
                </c:pt>
                <c:pt idx="16">
                  <c:v>1.67E-2</c:v>
                </c:pt>
                <c:pt idx="17">
                  <c:v>0.21229999999999999</c:v>
                </c:pt>
                <c:pt idx="18">
                  <c:v>0.79039999999999999</c:v>
                </c:pt>
                <c:pt idx="19">
                  <c:v>1.2825</c:v>
                </c:pt>
                <c:pt idx="20">
                  <c:v>1.4096</c:v>
                </c:pt>
                <c:pt idx="21">
                  <c:v>1.4517</c:v>
                </c:pt>
                <c:pt idx="22">
                  <c:v>1.4741</c:v>
                </c:pt>
                <c:pt idx="23">
                  <c:v>1.5474000000000001</c:v>
                </c:pt>
                <c:pt idx="24">
                  <c:v>1.5298</c:v>
                </c:pt>
                <c:pt idx="25">
                  <c:v>1.5201</c:v>
                </c:pt>
                <c:pt idx="26">
                  <c:v>1.4752000000000001</c:v>
                </c:pt>
                <c:pt idx="27">
                  <c:v>1.5122</c:v>
                </c:pt>
                <c:pt idx="28">
                  <c:v>1.5014000000000001</c:v>
                </c:pt>
                <c:pt idx="29">
                  <c:v>1.5306999999999999</c:v>
                </c:pt>
                <c:pt idx="30">
                  <c:v>1.4764999999999999</c:v>
                </c:pt>
                <c:pt idx="31">
                  <c:v>1.4987999999999999</c:v>
                </c:pt>
                <c:pt idx="32">
                  <c:v>1.4810000000000001</c:v>
                </c:pt>
                <c:pt idx="33">
                  <c:v>1.4851000000000001</c:v>
                </c:pt>
                <c:pt idx="34">
                  <c:v>1.4873000000000001</c:v>
                </c:pt>
                <c:pt idx="35">
                  <c:v>1.5122</c:v>
                </c:pt>
                <c:pt idx="36">
                  <c:v>1.5425</c:v>
                </c:pt>
                <c:pt idx="37">
                  <c:v>1.506</c:v>
                </c:pt>
                <c:pt idx="38">
                  <c:v>1.5326</c:v>
                </c:pt>
                <c:pt idx="39">
                  <c:v>1.5214000000000001</c:v>
                </c:pt>
                <c:pt idx="40">
                  <c:v>1.5369999999999999</c:v>
                </c:pt>
                <c:pt idx="41">
                  <c:v>1.5404</c:v>
                </c:pt>
                <c:pt idx="42">
                  <c:v>1.5022</c:v>
                </c:pt>
                <c:pt idx="43">
                  <c:v>1.5112000000000001</c:v>
                </c:pt>
                <c:pt idx="44">
                  <c:v>1.5138</c:v>
                </c:pt>
                <c:pt idx="45">
                  <c:v>1.5138</c:v>
                </c:pt>
                <c:pt idx="46">
                  <c:v>0.55579999999999996</c:v>
                </c:pt>
                <c:pt idx="47">
                  <c:v>0.62580000000000002</c:v>
                </c:pt>
                <c:pt idx="48">
                  <c:v>0.7823</c:v>
                </c:pt>
                <c:pt idx="49">
                  <c:v>1.0568</c:v>
                </c:pt>
                <c:pt idx="50">
                  <c:v>1.1543000000000001</c:v>
                </c:pt>
                <c:pt idx="51">
                  <c:v>1.1936</c:v>
                </c:pt>
                <c:pt idx="52">
                  <c:v>1.173</c:v>
                </c:pt>
                <c:pt idx="53">
                  <c:v>1.2068000000000001</c:v>
                </c:pt>
                <c:pt idx="54">
                  <c:v>1.1755</c:v>
                </c:pt>
                <c:pt idx="55">
                  <c:v>1.1613</c:v>
                </c:pt>
                <c:pt idx="56">
                  <c:v>1.1631</c:v>
                </c:pt>
                <c:pt idx="57">
                  <c:v>1.1607000000000001</c:v>
                </c:pt>
                <c:pt idx="58">
                  <c:v>1.1673</c:v>
                </c:pt>
                <c:pt idx="59">
                  <c:v>1.1731</c:v>
                </c:pt>
                <c:pt idx="60">
                  <c:v>1.1716</c:v>
                </c:pt>
                <c:pt idx="61">
                  <c:v>1.1872</c:v>
                </c:pt>
                <c:pt idx="62">
                  <c:v>1.2092000000000001</c:v>
                </c:pt>
                <c:pt idx="63">
                  <c:v>1.1768000000000001</c:v>
                </c:pt>
                <c:pt idx="64">
                  <c:v>1.1544000000000001</c:v>
                </c:pt>
                <c:pt idx="65">
                  <c:v>1.1820999999999999</c:v>
                </c:pt>
                <c:pt idx="66">
                  <c:v>1.1899</c:v>
                </c:pt>
                <c:pt idx="67">
                  <c:v>1.1852</c:v>
                </c:pt>
                <c:pt idx="68">
                  <c:v>1.1722999999999999</c:v>
                </c:pt>
                <c:pt idx="69">
                  <c:v>1.1618999999999999</c:v>
                </c:pt>
                <c:pt idx="70">
                  <c:v>1.1892</c:v>
                </c:pt>
                <c:pt idx="71">
                  <c:v>1.153</c:v>
                </c:pt>
                <c:pt idx="72">
                  <c:v>1.1841999999999999</c:v>
                </c:pt>
                <c:pt idx="73">
                  <c:v>1.1839</c:v>
                </c:pt>
                <c:pt idx="74">
                  <c:v>1.1500999999999999</c:v>
                </c:pt>
                <c:pt idx="75">
                  <c:v>1.1377999999999999</c:v>
                </c:pt>
                <c:pt idx="76">
                  <c:v>1.1713</c:v>
                </c:pt>
                <c:pt idx="77">
                  <c:v>1.1418999999999999</c:v>
                </c:pt>
                <c:pt idx="78">
                  <c:v>1.1662999999999999</c:v>
                </c:pt>
                <c:pt idx="79">
                  <c:v>1.151</c:v>
                </c:pt>
                <c:pt idx="80">
                  <c:v>0.67449999999999999</c:v>
                </c:pt>
                <c:pt idx="81">
                  <c:v>0.71650000000000003</c:v>
                </c:pt>
                <c:pt idx="82">
                  <c:v>0.85960000000000003</c:v>
                </c:pt>
                <c:pt idx="83">
                  <c:v>0.9617</c:v>
                </c:pt>
                <c:pt idx="84">
                  <c:v>0.9788</c:v>
                </c:pt>
                <c:pt idx="85">
                  <c:v>0.98660000000000003</c:v>
                </c:pt>
                <c:pt idx="86">
                  <c:v>0.98770000000000002</c:v>
                </c:pt>
                <c:pt idx="87">
                  <c:v>0.99509999999999998</c:v>
                </c:pt>
                <c:pt idx="88">
                  <c:v>0.99119999999999997</c:v>
                </c:pt>
                <c:pt idx="89">
                  <c:v>0.98699999999999999</c:v>
                </c:pt>
                <c:pt idx="90">
                  <c:v>0.98870000000000002</c:v>
                </c:pt>
                <c:pt idx="91">
                  <c:v>0.98829999999999996</c:v>
                </c:pt>
                <c:pt idx="92">
                  <c:v>0.98709999999999998</c:v>
                </c:pt>
                <c:pt idx="93">
                  <c:v>0.98750000000000004</c:v>
                </c:pt>
                <c:pt idx="94">
                  <c:v>0.98629999999999995</c:v>
                </c:pt>
                <c:pt idx="95">
                  <c:v>0.97689999999999999</c:v>
                </c:pt>
                <c:pt idx="96">
                  <c:v>0.97140000000000004</c:v>
                </c:pt>
                <c:pt idx="97">
                  <c:v>0.9798</c:v>
                </c:pt>
                <c:pt idx="98">
                  <c:v>0.97650000000000003</c:v>
                </c:pt>
                <c:pt idx="99">
                  <c:v>0.97319999999999995</c:v>
                </c:pt>
                <c:pt idx="100">
                  <c:v>0.9698</c:v>
                </c:pt>
                <c:pt idx="101">
                  <c:v>0.96450000000000002</c:v>
                </c:pt>
                <c:pt idx="102">
                  <c:v>0.97219999999999995</c:v>
                </c:pt>
                <c:pt idx="103">
                  <c:v>0.97189999999999999</c:v>
                </c:pt>
                <c:pt idx="104">
                  <c:v>0.97550000000000003</c:v>
                </c:pt>
                <c:pt idx="105">
                  <c:v>0.9768</c:v>
                </c:pt>
                <c:pt idx="106">
                  <c:v>0.98240000000000005</c:v>
                </c:pt>
                <c:pt idx="107">
                  <c:v>0.97799999999999998</c:v>
                </c:pt>
                <c:pt idx="108">
                  <c:v>0.98080000000000001</c:v>
                </c:pt>
                <c:pt idx="109">
                  <c:v>0.98150000000000004</c:v>
                </c:pt>
                <c:pt idx="110">
                  <c:v>0.97450000000000003</c:v>
                </c:pt>
                <c:pt idx="111">
                  <c:v>0.98280000000000001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C26-8D40-B375-1DBEEFC1F9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2997247"/>
        <c:axId val="726930687"/>
      </c:scatterChart>
      <c:valAx>
        <c:axId val="762997247"/>
        <c:scaling>
          <c:orientation val="minMax"/>
          <c:max val="9"/>
          <c:min val="0"/>
        </c:scaling>
        <c:delete val="0"/>
        <c:axPos val="b"/>
        <c:majorGridlines>
          <c:spPr>
            <a:ln w="9525" cap="flat" cmpd="sng" algn="ctr">
              <a:solidFill>
                <a:schemeClr val="bg2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300" b="0" i="0" u="none" strike="noStrike" kern="1200" baseline="0">
                    <a:solidFill>
                      <a:schemeClr val="tx1"/>
                    </a:solidFill>
                    <a:latin typeface="NewComputerModern10" pitchFamily="2" charset="77"/>
                    <a:ea typeface="+mn-ea"/>
                    <a:cs typeface="+mn-cs"/>
                  </a:defRPr>
                </a:pPr>
                <a:r>
                  <a:rPr lang="en-US" sz="1300" b="0" i="0">
                    <a:solidFill>
                      <a:schemeClr val="tx1"/>
                    </a:solidFill>
                    <a:latin typeface="NewComputerModern10" pitchFamily="2" charset="77"/>
                  </a:rPr>
                  <a:t>Time [s]</a:t>
                </a:r>
              </a:p>
            </c:rich>
          </c:tx>
          <c:layout>
            <c:manualLayout>
              <c:xMode val="edge"/>
              <c:yMode val="edge"/>
              <c:x val="0.43627642446441267"/>
              <c:y val="0.84527796399372179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NewComputerModern10" pitchFamily="2" charset="77"/>
                <a:ea typeface="+mn-ea"/>
                <a:cs typeface="+mn-cs"/>
              </a:defRPr>
            </a:pPr>
            <a:endParaRPr lang="en-US"/>
          </a:p>
        </c:txPr>
        <c:crossAx val="726930687"/>
        <c:crosses val="autoZero"/>
        <c:crossBetween val="midCat"/>
        <c:majorUnit val="1"/>
      </c:valAx>
      <c:valAx>
        <c:axId val="726930687"/>
        <c:scaling>
          <c:orientation val="minMax"/>
          <c:max val="3.5"/>
          <c:min val="0"/>
        </c:scaling>
        <c:delete val="0"/>
        <c:axPos val="l"/>
        <c:majorGridlines>
          <c:spPr>
            <a:ln w="9525" cap="flat" cmpd="sng" algn="ctr">
              <a:solidFill>
                <a:schemeClr val="bg2">
                  <a:lumMod val="9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300" b="0" i="0" u="none" strike="noStrike" kern="1200" baseline="0">
                    <a:solidFill>
                      <a:schemeClr val="tx1"/>
                    </a:solidFill>
                    <a:latin typeface="NewComputerModern10" pitchFamily="2" charset="77"/>
                    <a:ea typeface="+mn-ea"/>
                    <a:cs typeface="+mn-cs"/>
                  </a:defRPr>
                </a:pPr>
                <a:r>
                  <a:rPr lang="en-US" sz="1300" b="0" i="0">
                    <a:solidFill>
                      <a:schemeClr val="tx1"/>
                    </a:solidFill>
                    <a:latin typeface="NewComputerModern10" pitchFamily="2" charset="77"/>
                  </a:rPr>
                  <a:t>Efficiency [g/W]</a:t>
                </a:r>
              </a:p>
            </c:rich>
          </c:tx>
          <c:layout>
            <c:manualLayout>
              <c:xMode val="edge"/>
              <c:yMode val="edge"/>
              <c:x val="8.5678396054375355E-2"/>
              <c:y val="0.26550410309283451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NewComputerModern10" pitchFamily="2" charset="77"/>
                <a:ea typeface="+mn-ea"/>
                <a:cs typeface="+mn-cs"/>
              </a:defRPr>
            </a:pPr>
            <a:endParaRPr lang="en-US"/>
          </a:p>
        </c:txPr>
        <c:crossAx val="762997247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26374</xdr:colOff>
      <xdr:row>26</xdr:row>
      <xdr:rowOff>142011</xdr:rowOff>
    </xdr:from>
    <xdr:to>
      <xdr:col>36</xdr:col>
      <xdr:colOff>186203</xdr:colOff>
      <xdr:row>46</xdr:row>
      <xdr:rowOff>157555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F2DC0AD-DC98-1724-0A4B-5A3719FCE9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26374</xdr:colOff>
      <xdr:row>50</xdr:row>
      <xdr:rowOff>0</xdr:rowOff>
    </xdr:from>
    <xdr:to>
      <xdr:col>36</xdr:col>
      <xdr:colOff>186203</xdr:colOff>
      <xdr:row>70</xdr:row>
      <xdr:rowOff>15544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826585D-87E5-3C42-DD83-5F53A8BCCD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0.77299</cdr:x>
      <cdr:y>0.47115</cdr:y>
    </cdr:from>
    <cdr:to>
      <cdr:x>0.95453</cdr:x>
      <cdr:y>0.54249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2996005C-7CE1-BC89-38A3-7D6EC5DB13C5}"/>
            </a:ext>
          </a:extLst>
        </cdr:cNvPr>
        <cdr:cNvSpPr txBox="1"/>
      </cdr:nvSpPr>
      <cdr:spPr>
        <a:xfrm xmlns:a="http://schemas.openxmlformats.org/drawingml/2006/main">
          <a:off x="5881698" y="1905570"/>
          <a:ext cx="1381366" cy="28854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900" kern="1200">
              <a:latin typeface="NEWCOMPUTERMODERN10-BOOK" pitchFamily="2" charset="77"/>
            </a:rPr>
            <a:t>2.5"</a:t>
          </a:r>
          <a:r>
            <a:rPr lang="en-US" sz="900" kern="1200" baseline="0">
              <a:latin typeface="NEWCOMPUTERMODERN10-BOOK" pitchFamily="2" charset="77"/>
            </a:rPr>
            <a:t> Propeller</a:t>
          </a:r>
          <a:endParaRPr lang="en-US" sz="900" kern="1200">
            <a:latin typeface="NEWCOMPUTERMODERN10-BOOK" pitchFamily="2" charset="77"/>
          </a:endParaRPr>
        </a:p>
      </cdr:txBody>
    </cdr:sp>
  </cdr:relSizeAnchor>
  <cdr:relSizeAnchor xmlns:cdr="http://schemas.openxmlformats.org/drawingml/2006/chartDrawing">
    <cdr:from>
      <cdr:x>0.77299</cdr:x>
      <cdr:y>0.42403</cdr:y>
    </cdr:from>
    <cdr:to>
      <cdr:x>0.95453</cdr:x>
      <cdr:y>0.49538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2996005C-7CE1-BC89-38A3-7D6EC5DB13C5}"/>
            </a:ext>
          </a:extLst>
        </cdr:cNvPr>
        <cdr:cNvSpPr txBox="1"/>
      </cdr:nvSpPr>
      <cdr:spPr>
        <a:xfrm xmlns:a="http://schemas.openxmlformats.org/drawingml/2006/main">
          <a:off x="5881708" y="1715002"/>
          <a:ext cx="1381345" cy="28857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900" kern="1200">
              <a:latin typeface="NEWCOMPUTERMODERN10-BOOK" pitchFamily="2" charset="77"/>
            </a:rPr>
            <a:t>3"</a:t>
          </a:r>
          <a:r>
            <a:rPr lang="en-US" sz="900" kern="1200" baseline="0">
              <a:latin typeface="NEWCOMPUTERMODERN10-BOOK" pitchFamily="2" charset="77"/>
            </a:rPr>
            <a:t> Propeller</a:t>
          </a:r>
          <a:endParaRPr lang="en-US" sz="900" kern="1200">
            <a:latin typeface="NEWCOMPUTERMODERN10-BOOK" pitchFamily="2" charset="77"/>
          </a:endParaRPr>
        </a:p>
      </cdr:txBody>
    </cdr:sp>
  </cdr:relSizeAnchor>
  <cdr:relSizeAnchor xmlns:cdr="http://schemas.openxmlformats.org/drawingml/2006/chartDrawing">
    <cdr:from>
      <cdr:x>0.77299</cdr:x>
      <cdr:y>0.27491</cdr:y>
    </cdr:from>
    <cdr:to>
      <cdr:x>0.95453</cdr:x>
      <cdr:y>0.34627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236E3E09-0E2E-A845-6AAB-C20D564730DD}"/>
            </a:ext>
          </a:extLst>
        </cdr:cNvPr>
        <cdr:cNvSpPr txBox="1"/>
      </cdr:nvSpPr>
      <cdr:spPr>
        <a:xfrm xmlns:a="http://schemas.openxmlformats.org/drawingml/2006/main">
          <a:off x="5881708" y="1111896"/>
          <a:ext cx="1381345" cy="28857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900" kern="1200">
              <a:latin typeface="NEWCOMPUTERMODERN10-BOOK" pitchFamily="2" charset="77"/>
            </a:rPr>
            <a:t>3.5"</a:t>
          </a:r>
          <a:r>
            <a:rPr lang="en-US" sz="900" kern="1200" baseline="0">
              <a:latin typeface="NEWCOMPUTERMODERN10-BOOK" pitchFamily="2" charset="77"/>
            </a:rPr>
            <a:t> Propeller</a:t>
          </a:r>
          <a:endParaRPr lang="en-US" sz="900" kern="1200">
            <a:latin typeface="NEWCOMPUTERMODERN10-BOOK" pitchFamily="2" charset="77"/>
          </a:endParaRPr>
        </a:p>
      </cdr:txBody>
    </cdr:sp>
  </cdr:relSizeAnchor>
  <cdr:relSizeAnchor xmlns:cdr="http://schemas.openxmlformats.org/drawingml/2006/chartDrawing">
    <cdr:from>
      <cdr:x>0.77299</cdr:x>
      <cdr:y>0.05418</cdr:y>
    </cdr:from>
    <cdr:to>
      <cdr:x>0.95453</cdr:x>
      <cdr:y>0.12553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C771FA0F-3A5D-A3F3-AF5D-747255FAB3E8}"/>
            </a:ext>
          </a:extLst>
        </cdr:cNvPr>
        <cdr:cNvSpPr txBox="1"/>
      </cdr:nvSpPr>
      <cdr:spPr>
        <a:xfrm xmlns:a="http://schemas.openxmlformats.org/drawingml/2006/main">
          <a:off x="4452055" y="192171"/>
          <a:ext cx="1045584" cy="2530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900" kern="1200">
              <a:latin typeface="NEWCOMPUTERMODERN10-BOOK" pitchFamily="2" charset="77"/>
            </a:rPr>
            <a:t>4.9"</a:t>
          </a:r>
          <a:r>
            <a:rPr lang="en-US" sz="900" kern="1200" baseline="0">
              <a:latin typeface="NEWCOMPUTERMODERN10-BOOK" pitchFamily="2" charset="77"/>
            </a:rPr>
            <a:t> Propeller</a:t>
          </a:r>
          <a:endParaRPr lang="en-US" sz="900" kern="1200">
            <a:latin typeface="NEWCOMPUTERMODERN10-BOOK" pitchFamily="2" charset="77"/>
          </a:endParaRPr>
        </a:p>
      </cdr:txBody>
    </cdr:sp>
  </cdr:relSizeAnchor>
  <cdr:relSizeAnchor xmlns:cdr="http://schemas.openxmlformats.org/drawingml/2006/chartDrawing">
    <cdr:from>
      <cdr:x>0</cdr:x>
      <cdr:y>0.92456</cdr:y>
    </cdr:from>
    <cdr:to>
      <cdr:x>0.03253</cdr:x>
      <cdr:y>0.99591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B64A258C-111B-DD09-7D4C-94C9FF769A01}"/>
            </a:ext>
          </a:extLst>
        </cdr:cNvPr>
        <cdr:cNvSpPr txBox="1"/>
      </cdr:nvSpPr>
      <cdr:spPr>
        <a:xfrm xmlns:a="http://schemas.openxmlformats.org/drawingml/2006/main" flipH="1">
          <a:off x="0" y="3810645"/>
          <a:ext cx="247012" cy="29404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2"/>
        </a:solidFill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400" kern="1200">
              <a:latin typeface="NEWCOMPUTERMODERN10-BOOK" pitchFamily="2" charset="77"/>
            </a:rPr>
            <a:t>G1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</cdr:x>
      <cdr:y>0.92456</cdr:y>
    </cdr:from>
    <cdr:to>
      <cdr:x>0.03253</cdr:x>
      <cdr:y>0.99591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B64A258C-111B-DD09-7D4C-94C9FF769A01}"/>
            </a:ext>
          </a:extLst>
        </cdr:cNvPr>
        <cdr:cNvSpPr txBox="1"/>
      </cdr:nvSpPr>
      <cdr:spPr>
        <a:xfrm xmlns:a="http://schemas.openxmlformats.org/drawingml/2006/main" flipH="1">
          <a:off x="0" y="3810645"/>
          <a:ext cx="247012" cy="29404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2"/>
        </a:solidFill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400" kern="1200">
              <a:latin typeface="NEWCOMPUTERMODERN10-BOOK" pitchFamily="2" charset="77"/>
            </a:rPr>
            <a:t>G1</a:t>
          </a: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0</xdr:colOff>
      <xdr:row>5</xdr:row>
      <xdr:rowOff>0</xdr:rowOff>
    </xdr:from>
    <xdr:to>
      <xdr:col>37</xdr:col>
      <xdr:colOff>168901</xdr:colOff>
      <xdr:row>24</xdr:row>
      <xdr:rowOff>186490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70DA18-05B0-EE47-99F3-C7259B8E22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0</xdr:colOff>
      <xdr:row>29</xdr:row>
      <xdr:rowOff>15721</xdr:rowOff>
    </xdr:from>
    <xdr:to>
      <xdr:col>37</xdr:col>
      <xdr:colOff>168901</xdr:colOff>
      <xdr:row>48</xdr:row>
      <xdr:rowOff>201431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45104A8-33CA-AE4F-9D12-04FE18CF2C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0.77299</cdr:x>
      <cdr:y>0.12773</cdr:y>
    </cdr:from>
    <cdr:to>
      <cdr:x>0.95453</cdr:x>
      <cdr:y>0.19907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2996005C-7CE1-BC89-38A3-7D6EC5DB13C5}"/>
            </a:ext>
          </a:extLst>
        </cdr:cNvPr>
        <cdr:cNvSpPr txBox="1"/>
      </cdr:nvSpPr>
      <cdr:spPr>
        <a:xfrm xmlns:a="http://schemas.openxmlformats.org/drawingml/2006/main">
          <a:off x="5894524" y="522837"/>
          <a:ext cx="1384355" cy="29201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900" kern="1200">
              <a:latin typeface="NEWCOMPUTERMODERN10-BOOK" pitchFamily="2" charset="77"/>
            </a:rPr>
            <a:t>Datura 2.5"</a:t>
          </a:r>
          <a:r>
            <a:rPr lang="en-US" sz="900" kern="1200" baseline="0">
              <a:latin typeface="NEWCOMPUTERMODERN10-BOOK" pitchFamily="2" charset="77"/>
            </a:rPr>
            <a:t> Propeller</a:t>
          </a:r>
          <a:endParaRPr lang="en-US" sz="900" kern="1200">
            <a:latin typeface="NEWCOMPUTERMODERN10-BOOK" pitchFamily="2" charset="77"/>
          </a:endParaRPr>
        </a:p>
      </cdr:txBody>
    </cdr:sp>
  </cdr:relSizeAnchor>
  <cdr:relSizeAnchor xmlns:cdr="http://schemas.openxmlformats.org/drawingml/2006/chartDrawing">
    <cdr:from>
      <cdr:x>0.77299</cdr:x>
      <cdr:y>0.17638</cdr:y>
    </cdr:from>
    <cdr:to>
      <cdr:x>0.95453</cdr:x>
      <cdr:y>0.24773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2996005C-7CE1-BC89-38A3-7D6EC5DB13C5}"/>
            </a:ext>
          </a:extLst>
        </cdr:cNvPr>
        <cdr:cNvSpPr txBox="1"/>
      </cdr:nvSpPr>
      <cdr:spPr>
        <a:xfrm xmlns:a="http://schemas.openxmlformats.org/drawingml/2006/main">
          <a:off x="5894524" y="721966"/>
          <a:ext cx="1384355" cy="2920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900" kern="1200">
              <a:latin typeface="NEWCOMPUTERMODERN10-BOOK" pitchFamily="2" charset="77"/>
            </a:rPr>
            <a:t>RB 2.5"</a:t>
          </a:r>
          <a:r>
            <a:rPr lang="en-US" sz="900" kern="1200" baseline="0">
              <a:latin typeface="NEWCOMPUTERMODERN10-BOOK" pitchFamily="2" charset="77"/>
            </a:rPr>
            <a:t> Propeller</a:t>
          </a:r>
          <a:endParaRPr lang="en-US" sz="900" kern="1200">
            <a:latin typeface="NEWCOMPUTERMODERN10-BOOK" pitchFamily="2" charset="77"/>
          </a:endParaRPr>
        </a:p>
      </cdr:txBody>
    </cdr:sp>
  </cdr:relSizeAnchor>
  <cdr:relSizeAnchor xmlns:cdr="http://schemas.openxmlformats.org/drawingml/2006/chartDrawing">
    <cdr:from>
      <cdr:x>0.77299</cdr:x>
      <cdr:y>0.09502</cdr:y>
    </cdr:from>
    <cdr:to>
      <cdr:x>0.95453</cdr:x>
      <cdr:y>0.16638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236E3E09-0E2E-A845-6AAB-C20D564730DD}"/>
            </a:ext>
          </a:extLst>
        </cdr:cNvPr>
        <cdr:cNvSpPr txBox="1"/>
      </cdr:nvSpPr>
      <cdr:spPr>
        <a:xfrm xmlns:a="http://schemas.openxmlformats.org/drawingml/2006/main">
          <a:off x="5894524" y="388938"/>
          <a:ext cx="1384355" cy="29209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900" kern="1200">
              <a:latin typeface="NEWCOMPUTERMODERN10-BOOK" pitchFamily="2" charset="77"/>
            </a:rPr>
            <a:t>RB 3"</a:t>
          </a:r>
          <a:r>
            <a:rPr lang="en-US" sz="900" kern="1200" baseline="0">
              <a:latin typeface="NEWCOMPUTERMODERN10-BOOK" pitchFamily="2" charset="77"/>
            </a:rPr>
            <a:t> Propeller</a:t>
          </a:r>
          <a:endParaRPr lang="en-US" sz="900" kern="1200">
            <a:latin typeface="NEWCOMPUTERMODERN10-BOOK" pitchFamily="2" charset="77"/>
          </a:endParaRPr>
        </a:p>
      </cdr:txBody>
    </cdr:sp>
  </cdr:relSizeAnchor>
  <cdr:relSizeAnchor xmlns:cdr="http://schemas.openxmlformats.org/drawingml/2006/chartDrawing">
    <cdr:from>
      <cdr:x>0.77299</cdr:x>
      <cdr:y>0.02463</cdr:y>
    </cdr:from>
    <cdr:to>
      <cdr:x>0.95453</cdr:x>
      <cdr:y>0.09598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C771FA0F-3A5D-A3F3-AF5D-747255FAB3E8}"/>
            </a:ext>
          </a:extLst>
        </cdr:cNvPr>
        <cdr:cNvSpPr txBox="1"/>
      </cdr:nvSpPr>
      <cdr:spPr>
        <a:xfrm xmlns:a="http://schemas.openxmlformats.org/drawingml/2006/main">
          <a:off x="5894524" y="100820"/>
          <a:ext cx="1384354" cy="29205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900" kern="1200">
              <a:latin typeface="NEWCOMPUTERMODERN10-BOOK" pitchFamily="2" charset="77"/>
            </a:rPr>
            <a:t>Datura 3"</a:t>
          </a:r>
          <a:r>
            <a:rPr lang="en-US" sz="900" kern="1200" baseline="0">
              <a:latin typeface="NEWCOMPUTERMODERN10-BOOK" pitchFamily="2" charset="77"/>
            </a:rPr>
            <a:t> Propeller</a:t>
          </a:r>
          <a:endParaRPr lang="en-US" sz="900" kern="1200">
            <a:latin typeface="NEWCOMPUTERMODERN10-BOOK" pitchFamily="2" charset="77"/>
          </a:endParaRPr>
        </a:p>
      </cdr:txBody>
    </cdr:sp>
  </cdr:relSizeAnchor>
  <cdr:relSizeAnchor xmlns:cdr="http://schemas.openxmlformats.org/drawingml/2006/chartDrawing">
    <cdr:from>
      <cdr:x>0</cdr:x>
      <cdr:y>0.92456</cdr:y>
    </cdr:from>
    <cdr:to>
      <cdr:x>0.03253</cdr:x>
      <cdr:y>0.99591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B64A258C-111B-DD09-7D4C-94C9FF769A01}"/>
            </a:ext>
          </a:extLst>
        </cdr:cNvPr>
        <cdr:cNvSpPr txBox="1"/>
      </cdr:nvSpPr>
      <cdr:spPr>
        <a:xfrm xmlns:a="http://schemas.openxmlformats.org/drawingml/2006/main" flipH="1">
          <a:off x="0" y="3810645"/>
          <a:ext cx="247012" cy="29404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2"/>
        </a:solidFill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400" kern="1200">
              <a:latin typeface="NEWCOMPUTERMODERN10-BOOK" pitchFamily="2" charset="77"/>
            </a:rPr>
            <a:t>G1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0.77299</cdr:x>
      <cdr:y>0.19334</cdr:y>
    </cdr:from>
    <cdr:to>
      <cdr:x>0.95453</cdr:x>
      <cdr:y>0.26468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2996005C-7CE1-BC89-38A3-7D6EC5DB13C5}"/>
            </a:ext>
          </a:extLst>
        </cdr:cNvPr>
        <cdr:cNvSpPr txBox="1"/>
      </cdr:nvSpPr>
      <cdr:spPr>
        <a:xfrm xmlns:a="http://schemas.openxmlformats.org/drawingml/2006/main">
          <a:off x="5882150" y="786011"/>
          <a:ext cx="1381448" cy="29002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900" kern="1200">
              <a:latin typeface="NEWCOMPUTERMODERN10-BOOK" pitchFamily="2" charset="77"/>
            </a:rPr>
            <a:t>Datura 2.5"</a:t>
          </a:r>
          <a:r>
            <a:rPr lang="en-US" sz="900" kern="1200" baseline="0">
              <a:latin typeface="NEWCOMPUTERMODERN10-BOOK" pitchFamily="2" charset="77"/>
            </a:rPr>
            <a:t> Propeller</a:t>
          </a:r>
          <a:endParaRPr lang="en-US" sz="900" kern="1200">
            <a:latin typeface="NEWCOMPUTERMODERN10-BOOK" pitchFamily="2" charset="77"/>
          </a:endParaRPr>
        </a:p>
      </cdr:txBody>
    </cdr:sp>
  </cdr:relSizeAnchor>
  <cdr:relSizeAnchor xmlns:cdr="http://schemas.openxmlformats.org/drawingml/2006/chartDrawing">
    <cdr:from>
      <cdr:x>0.77299</cdr:x>
      <cdr:y>0.57099</cdr:y>
    </cdr:from>
    <cdr:to>
      <cdr:x>0.95453</cdr:x>
      <cdr:y>0.64234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2996005C-7CE1-BC89-38A3-7D6EC5DB13C5}"/>
            </a:ext>
          </a:extLst>
        </cdr:cNvPr>
        <cdr:cNvSpPr txBox="1"/>
      </cdr:nvSpPr>
      <cdr:spPr>
        <a:xfrm xmlns:a="http://schemas.openxmlformats.org/drawingml/2006/main">
          <a:off x="5882150" y="2321315"/>
          <a:ext cx="1381448" cy="29006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900" kern="1200">
              <a:latin typeface="NEWCOMPUTERMODERN10-BOOK" pitchFamily="2" charset="77"/>
            </a:rPr>
            <a:t>RB 2.5"</a:t>
          </a:r>
          <a:r>
            <a:rPr lang="en-US" sz="900" kern="1200" baseline="0">
              <a:latin typeface="NEWCOMPUTERMODERN10-BOOK" pitchFamily="2" charset="77"/>
            </a:rPr>
            <a:t> Propeller</a:t>
          </a:r>
          <a:endParaRPr lang="en-US" sz="900" kern="1200">
            <a:latin typeface="NEWCOMPUTERMODERN10-BOOK" pitchFamily="2" charset="77"/>
          </a:endParaRPr>
        </a:p>
      </cdr:txBody>
    </cdr:sp>
  </cdr:relSizeAnchor>
  <cdr:relSizeAnchor xmlns:cdr="http://schemas.openxmlformats.org/drawingml/2006/chartDrawing">
    <cdr:from>
      <cdr:x>0.77299</cdr:x>
      <cdr:y>0.53752</cdr:y>
    </cdr:from>
    <cdr:to>
      <cdr:x>0.95453</cdr:x>
      <cdr:y>0.60888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236E3E09-0E2E-A845-6AAB-C20D564730DD}"/>
            </a:ext>
          </a:extLst>
        </cdr:cNvPr>
        <cdr:cNvSpPr txBox="1"/>
      </cdr:nvSpPr>
      <cdr:spPr>
        <a:xfrm xmlns:a="http://schemas.openxmlformats.org/drawingml/2006/main">
          <a:off x="5882150" y="2185237"/>
          <a:ext cx="1381448" cy="29010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900" kern="1200">
              <a:latin typeface="NEWCOMPUTERMODERN10-BOOK" pitchFamily="2" charset="77"/>
            </a:rPr>
            <a:t>RB 3"</a:t>
          </a:r>
          <a:r>
            <a:rPr lang="en-US" sz="900" kern="1200" baseline="0">
              <a:latin typeface="NEWCOMPUTERMODERN10-BOOK" pitchFamily="2" charset="77"/>
            </a:rPr>
            <a:t> Propeller</a:t>
          </a:r>
          <a:endParaRPr lang="en-US" sz="900" kern="1200">
            <a:latin typeface="NEWCOMPUTERMODERN10-BOOK" pitchFamily="2" charset="77"/>
          </a:endParaRPr>
        </a:p>
      </cdr:txBody>
    </cdr:sp>
  </cdr:relSizeAnchor>
  <cdr:relSizeAnchor xmlns:cdr="http://schemas.openxmlformats.org/drawingml/2006/chartDrawing">
    <cdr:from>
      <cdr:x>0.77299</cdr:x>
      <cdr:y>0.11543</cdr:y>
    </cdr:from>
    <cdr:to>
      <cdr:x>0.95453</cdr:x>
      <cdr:y>0.18678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C771FA0F-3A5D-A3F3-AF5D-747255FAB3E8}"/>
            </a:ext>
          </a:extLst>
        </cdr:cNvPr>
        <cdr:cNvSpPr txBox="1"/>
      </cdr:nvSpPr>
      <cdr:spPr>
        <a:xfrm xmlns:a="http://schemas.openxmlformats.org/drawingml/2006/main">
          <a:off x="5882150" y="469285"/>
          <a:ext cx="1381448" cy="29006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900" kern="1200">
              <a:latin typeface="NEWCOMPUTERMODERN10-BOOK" pitchFamily="2" charset="77"/>
            </a:rPr>
            <a:t>Datura 3"</a:t>
          </a:r>
          <a:r>
            <a:rPr lang="en-US" sz="900" kern="1200" baseline="0">
              <a:latin typeface="NEWCOMPUTERMODERN10-BOOK" pitchFamily="2" charset="77"/>
            </a:rPr>
            <a:t> Propeller</a:t>
          </a:r>
          <a:endParaRPr lang="en-US" sz="900" kern="1200">
            <a:latin typeface="NEWCOMPUTERMODERN10-BOOK" pitchFamily="2" charset="77"/>
          </a:endParaRPr>
        </a:p>
      </cdr:txBody>
    </cdr:sp>
  </cdr:relSizeAnchor>
  <cdr:relSizeAnchor xmlns:cdr="http://schemas.openxmlformats.org/drawingml/2006/chartDrawing">
    <cdr:from>
      <cdr:x>0</cdr:x>
      <cdr:y>0.92456</cdr:y>
    </cdr:from>
    <cdr:to>
      <cdr:x>0.03253</cdr:x>
      <cdr:y>0.99591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B64A258C-111B-DD09-7D4C-94C9FF769A01}"/>
            </a:ext>
          </a:extLst>
        </cdr:cNvPr>
        <cdr:cNvSpPr txBox="1"/>
      </cdr:nvSpPr>
      <cdr:spPr>
        <a:xfrm xmlns:a="http://schemas.openxmlformats.org/drawingml/2006/main" flipH="1">
          <a:off x="0" y="3810645"/>
          <a:ext cx="247012" cy="29404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2"/>
        </a:solidFill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400" kern="1200">
              <a:latin typeface="NEWCOMPUTERMODERN10-BOOK" pitchFamily="2" charset="77"/>
            </a:rPr>
            <a:t>G1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8D838-39E5-8A45-A582-8778B80FEE81}">
  <dimension ref="B2:X115"/>
  <sheetViews>
    <sheetView topLeftCell="W37" zoomScale="189" zoomScaleNormal="189" workbookViewId="0">
      <selection activeCell="AA24" sqref="AA24"/>
    </sheetView>
  </sheetViews>
  <sheetFormatPr baseColWidth="10" defaultRowHeight="16" x14ac:dyDescent="0.2"/>
  <cols>
    <col min="8" max="8" width="10.83203125" style="3"/>
    <col min="18" max="18" width="10.83203125" style="3"/>
  </cols>
  <sheetData>
    <row r="2" spans="2:24" x14ac:dyDescent="0.2">
      <c r="B2" s="2" t="s">
        <v>4</v>
      </c>
      <c r="C2" s="2"/>
      <c r="D2" s="2"/>
      <c r="E2" s="2"/>
      <c r="F2" s="1"/>
      <c r="H2" s="5" t="s">
        <v>5</v>
      </c>
      <c r="I2" s="5"/>
      <c r="J2" s="5"/>
      <c r="K2" s="5"/>
      <c r="L2" s="1"/>
      <c r="N2" s="2" t="s">
        <v>6</v>
      </c>
      <c r="O2" s="2"/>
      <c r="P2" s="2"/>
      <c r="Q2" s="2"/>
      <c r="R2" s="4"/>
      <c r="T2" s="2" t="s">
        <v>7</v>
      </c>
      <c r="U2" s="2"/>
      <c r="V2" s="2"/>
      <c r="W2" s="2"/>
      <c r="X2" s="1"/>
    </row>
    <row r="3" spans="2:24" x14ac:dyDescent="0.2">
      <c r="B3" t="s">
        <v>0</v>
      </c>
      <c r="C3" t="s">
        <v>1</v>
      </c>
      <c r="D3" t="s">
        <v>2</v>
      </c>
      <c r="E3" t="s">
        <v>3</v>
      </c>
      <c r="F3" t="s">
        <v>8</v>
      </c>
      <c r="H3" t="s">
        <v>0</v>
      </c>
      <c r="I3" t="s">
        <v>1</v>
      </c>
      <c r="J3" t="s">
        <v>2</v>
      </c>
      <c r="K3" t="s">
        <v>3</v>
      </c>
      <c r="L3" t="s">
        <v>8</v>
      </c>
      <c r="N3" t="s">
        <v>0</v>
      </c>
      <c r="O3" t="s">
        <v>1</v>
      </c>
      <c r="P3" t="s">
        <v>2</v>
      </c>
      <c r="Q3" t="s">
        <v>8</v>
      </c>
      <c r="T3" t="s">
        <v>0</v>
      </c>
      <c r="U3" t="s">
        <v>1</v>
      </c>
      <c r="V3" t="s">
        <v>2</v>
      </c>
      <c r="W3" t="s">
        <v>3</v>
      </c>
      <c r="X3" t="s">
        <v>8</v>
      </c>
    </row>
    <row r="4" spans="2:24" x14ac:dyDescent="0.2">
      <c r="B4">
        <v>0</v>
      </c>
      <c r="C4">
        <v>7.3999999999999996E-2</v>
      </c>
      <c r="D4">
        <v>0.999</v>
      </c>
      <c r="E4">
        <v>0</v>
      </c>
      <c r="F4">
        <f>B4-1</f>
        <v>-1</v>
      </c>
      <c r="H4">
        <v>0</v>
      </c>
      <c r="I4">
        <v>7.4999999999999997E-2</v>
      </c>
      <c r="J4">
        <v>0.88819999999999999</v>
      </c>
      <c r="K4">
        <v>0</v>
      </c>
      <c r="L4">
        <f>H4-1</f>
        <v>-1</v>
      </c>
      <c r="N4">
        <v>0</v>
      </c>
      <c r="O4">
        <v>5.0000000000000001E-3</v>
      </c>
      <c r="P4">
        <v>6.3100000000000003E-2</v>
      </c>
      <c r="Q4">
        <f>N4-1</f>
        <v>-1</v>
      </c>
      <c r="T4">
        <v>0</v>
      </c>
      <c r="U4">
        <v>-7.0000000000000001E-3</v>
      </c>
      <c r="V4">
        <v>-8.8800000000000004E-2</v>
      </c>
      <c r="W4">
        <v>0</v>
      </c>
      <c r="X4">
        <f>T4-1</f>
        <v>-1</v>
      </c>
    </row>
    <row r="5" spans="2:24" x14ac:dyDescent="0.2">
      <c r="B5">
        <v>9.5560999999999993E-2</v>
      </c>
      <c r="C5">
        <v>5.0999999999999997E-2</v>
      </c>
      <c r="D5">
        <v>0.60029999999999994</v>
      </c>
      <c r="E5">
        <v>0</v>
      </c>
      <c r="F5">
        <f t="shared" ref="F5:F68" si="0">B5-1</f>
        <v>-0.90443899999999999</v>
      </c>
      <c r="H5">
        <v>6.6158999999999996E-2</v>
      </c>
      <c r="I5">
        <v>0.107</v>
      </c>
      <c r="J5">
        <v>1.1248</v>
      </c>
      <c r="K5">
        <v>0</v>
      </c>
      <c r="L5">
        <f t="shared" ref="L5:L68" si="1">H5-1</f>
        <v>-0.93384100000000003</v>
      </c>
      <c r="N5">
        <v>0.102315</v>
      </c>
      <c r="O5">
        <v>-3.0000000000000001E-3</v>
      </c>
      <c r="P5">
        <v>-3.9199999999999999E-2</v>
      </c>
      <c r="Q5">
        <f>N5-1</f>
        <v>-0.89768499999999996</v>
      </c>
      <c r="T5">
        <v>0.107463</v>
      </c>
      <c r="U5">
        <v>7.9000000000000001E-2</v>
      </c>
      <c r="V5">
        <v>0.94099999999999995</v>
      </c>
      <c r="W5">
        <v>0</v>
      </c>
      <c r="X5">
        <f t="shared" ref="X5:X68" si="2">T5-1</f>
        <v>-0.89253700000000002</v>
      </c>
    </row>
    <row r="6" spans="2:24" x14ac:dyDescent="0.2">
      <c r="B6">
        <v>0.159245</v>
      </c>
      <c r="C6">
        <v>6.3E-2</v>
      </c>
      <c r="D6">
        <v>0.73719999999999997</v>
      </c>
      <c r="E6">
        <v>0</v>
      </c>
      <c r="F6">
        <f t="shared" si="0"/>
        <v>-0.84075500000000003</v>
      </c>
      <c r="H6">
        <v>0.17963799999999999</v>
      </c>
      <c r="I6">
        <v>0.158</v>
      </c>
      <c r="J6">
        <v>1.8653</v>
      </c>
      <c r="K6">
        <v>0</v>
      </c>
      <c r="L6">
        <f t="shared" si="1"/>
        <v>-0.82036200000000004</v>
      </c>
      <c r="N6">
        <v>0.209873</v>
      </c>
      <c r="O6">
        <v>-2.8000000000000001E-2</v>
      </c>
      <c r="P6">
        <v>-0.2923</v>
      </c>
      <c r="Q6">
        <f t="shared" ref="Q5:Q68" si="3">N6-1</f>
        <v>-0.79012700000000002</v>
      </c>
      <c r="T6">
        <v>0.195577</v>
      </c>
      <c r="U6">
        <v>8.8999999999999996E-2</v>
      </c>
      <c r="V6">
        <v>1.0620000000000001</v>
      </c>
      <c r="W6">
        <v>0</v>
      </c>
      <c r="X6">
        <f t="shared" si="2"/>
        <v>-0.804423</v>
      </c>
    </row>
    <row r="7" spans="2:24" x14ac:dyDescent="0.2">
      <c r="B7">
        <v>0.268096</v>
      </c>
      <c r="C7">
        <v>7.8E-2</v>
      </c>
      <c r="D7">
        <v>0.74029999999999996</v>
      </c>
      <c r="E7">
        <v>0</v>
      </c>
      <c r="F7">
        <f t="shared" si="0"/>
        <v>-0.731904</v>
      </c>
      <c r="H7">
        <v>0.259519</v>
      </c>
      <c r="I7">
        <v>0.109</v>
      </c>
      <c r="J7">
        <v>1.2824</v>
      </c>
      <c r="K7">
        <v>0</v>
      </c>
      <c r="L7">
        <f t="shared" si="1"/>
        <v>-0.74048099999999994</v>
      </c>
      <c r="N7">
        <v>0.28796899999999997</v>
      </c>
      <c r="O7">
        <v>-2.1999999999999999E-2</v>
      </c>
      <c r="P7">
        <v>-0.23169999999999999</v>
      </c>
      <c r="Q7">
        <f t="shared" si="3"/>
        <v>-0.71203100000000008</v>
      </c>
      <c r="T7">
        <v>0.28507900000000003</v>
      </c>
      <c r="U7">
        <v>2.4E-2</v>
      </c>
      <c r="V7">
        <v>0.28489999999999999</v>
      </c>
      <c r="W7">
        <v>0</v>
      </c>
      <c r="X7">
        <f t="shared" si="2"/>
        <v>-0.71492099999999992</v>
      </c>
    </row>
    <row r="8" spans="2:24" x14ac:dyDescent="0.2">
      <c r="B8">
        <v>0.34773199999999999</v>
      </c>
      <c r="C8">
        <v>3.5999999999999997E-2</v>
      </c>
      <c r="D8">
        <v>0.38169999999999998</v>
      </c>
      <c r="E8">
        <v>0</v>
      </c>
      <c r="F8">
        <f t="shared" si="0"/>
        <v>-0.65226800000000007</v>
      </c>
      <c r="H8">
        <v>0.411638</v>
      </c>
      <c r="I8">
        <v>7.8E-2</v>
      </c>
      <c r="J8">
        <v>0.82</v>
      </c>
      <c r="K8">
        <v>0</v>
      </c>
      <c r="L8">
        <f t="shared" si="1"/>
        <v>-0.58836200000000005</v>
      </c>
      <c r="N8">
        <v>0.39422099999999999</v>
      </c>
      <c r="O8">
        <v>-1.4999999999999999E-2</v>
      </c>
      <c r="P8">
        <v>-0.17549999999999999</v>
      </c>
      <c r="Q8">
        <f t="shared" si="3"/>
        <v>-0.60577900000000007</v>
      </c>
      <c r="T8">
        <v>0.37251600000000001</v>
      </c>
      <c r="U8">
        <v>1.2E-2</v>
      </c>
      <c r="V8">
        <v>0.1678</v>
      </c>
      <c r="W8">
        <v>0</v>
      </c>
      <c r="X8">
        <f t="shared" si="2"/>
        <v>-0.62748399999999993</v>
      </c>
    </row>
    <row r="9" spans="2:24" x14ac:dyDescent="0.2">
      <c r="B9">
        <v>0.45789000000000002</v>
      </c>
      <c r="C9">
        <v>1.4999999999999999E-2</v>
      </c>
      <c r="D9">
        <v>0.19750000000000001</v>
      </c>
      <c r="E9">
        <v>0</v>
      </c>
      <c r="F9">
        <f t="shared" si="0"/>
        <v>-0.54210999999999998</v>
      </c>
      <c r="H9">
        <v>0.52247399999999999</v>
      </c>
      <c r="I9">
        <v>7.4999999999999997E-2</v>
      </c>
      <c r="J9">
        <v>0.88819999999999999</v>
      </c>
      <c r="K9">
        <v>0</v>
      </c>
      <c r="L9">
        <f t="shared" si="1"/>
        <v>-0.47752600000000001</v>
      </c>
      <c r="N9">
        <v>0.472055</v>
      </c>
      <c r="O9">
        <v>-2.1000000000000001E-2</v>
      </c>
      <c r="P9">
        <v>-0.2437</v>
      </c>
      <c r="Q9">
        <f t="shared" si="3"/>
        <v>-0.527945</v>
      </c>
      <c r="T9">
        <v>0.46518399999999999</v>
      </c>
      <c r="U9">
        <v>3.7999999999999999E-2</v>
      </c>
      <c r="V9">
        <v>0.4577</v>
      </c>
      <c r="W9">
        <v>0</v>
      </c>
      <c r="X9">
        <f t="shared" si="2"/>
        <v>-0.53481599999999996</v>
      </c>
    </row>
    <row r="10" spans="2:24" x14ac:dyDescent="0.2">
      <c r="B10">
        <v>0.53845500000000002</v>
      </c>
      <c r="C10">
        <v>-1.7000000000000001E-2</v>
      </c>
      <c r="D10">
        <v>-0.20349999999999999</v>
      </c>
      <c r="E10">
        <v>0</v>
      </c>
      <c r="F10">
        <f t="shared" si="0"/>
        <v>-0.46154499999999998</v>
      </c>
      <c r="H10">
        <v>0.60183900000000001</v>
      </c>
      <c r="I10">
        <v>0.13900000000000001</v>
      </c>
      <c r="J10">
        <v>1.4601</v>
      </c>
      <c r="K10">
        <v>0</v>
      </c>
      <c r="L10">
        <f t="shared" si="1"/>
        <v>-0.39816099999999999</v>
      </c>
      <c r="N10">
        <v>0.57972400000000002</v>
      </c>
      <c r="O10">
        <v>-1.4999999999999999E-2</v>
      </c>
      <c r="P10">
        <v>-0.17549999999999999</v>
      </c>
      <c r="Q10">
        <f t="shared" si="3"/>
        <v>-0.42027599999999998</v>
      </c>
      <c r="T10">
        <v>0.55642999999999998</v>
      </c>
      <c r="U10">
        <v>3.6999999999999998E-2</v>
      </c>
      <c r="V10">
        <v>0.39140000000000003</v>
      </c>
      <c r="W10">
        <v>0</v>
      </c>
      <c r="X10">
        <f t="shared" si="2"/>
        <v>-0.44357000000000002</v>
      </c>
    </row>
    <row r="11" spans="2:24" x14ac:dyDescent="0.2">
      <c r="B11">
        <v>0.64936700000000003</v>
      </c>
      <c r="C11">
        <v>-4.4999999999999998E-2</v>
      </c>
      <c r="D11">
        <v>-0.52849999999999997</v>
      </c>
      <c r="E11">
        <v>0</v>
      </c>
      <c r="F11">
        <f t="shared" si="0"/>
        <v>-0.35063299999999997</v>
      </c>
      <c r="H11">
        <v>0.666269</v>
      </c>
      <c r="I11">
        <v>0.13300000000000001</v>
      </c>
      <c r="J11">
        <v>1.5740000000000001</v>
      </c>
      <c r="K11">
        <v>0</v>
      </c>
      <c r="L11">
        <f t="shared" si="1"/>
        <v>-0.333731</v>
      </c>
      <c r="N11">
        <v>0.65789900000000001</v>
      </c>
      <c r="O11">
        <v>-9.2999999999999999E-2</v>
      </c>
      <c r="P11">
        <v>-1.0956999999999999</v>
      </c>
      <c r="Q11">
        <f t="shared" si="3"/>
        <v>-0.34210099999999999</v>
      </c>
      <c r="T11">
        <v>0.64573000000000003</v>
      </c>
      <c r="U11">
        <v>5.1999999999999998E-2</v>
      </c>
      <c r="V11">
        <v>0.61299999999999999</v>
      </c>
      <c r="W11">
        <v>0</v>
      </c>
      <c r="X11">
        <f t="shared" si="2"/>
        <v>-0.35426999999999997</v>
      </c>
    </row>
    <row r="12" spans="2:24" x14ac:dyDescent="0.2">
      <c r="B12">
        <v>0.73016400000000004</v>
      </c>
      <c r="C12">
        <v>-4.4999999999999998E-2</v>
      </c>
      <c r="D12">
        <v>-0.52849999999999997</v>
      </c>
      <c r="E12">
        <v>0</v>
      </c>
      <c r="F12">
        <f t="shared" si="0"/>
        <v>-0.26983599999999996</v>
      </c>
      <c r="H12">
        <v>0.777443</v>
      </c>
      <c r="I12">
        <v>0.08</v>
      </c>
      <c r="J12">
        <v>0.83520000000000005</v>
      </c>
      <c r="K12">
        <v>0</v>
      </c>
      <c r="L12">
        <f t="shared" si="1"/>
        <v>-0.222557</v>
      </c>
      <c r="N12">
        <v>0.76452500000000001</v>
      </c>
      <c r="O12">
        <v>-6.3E-2</v>
      </c>
      <c r="P12">
        <v>-0.7379</v>
      </c>
      <c r="Q12">
        <f t="shared" si="3"/>
        <v>-0.23547499999999999</v>
      </c>
      <c r="T12">
        <v>0.73672199999999999</v>
      </c>
      <c r="U12">
        <v>6.6000000000000003E-2</v>
      </c>
      <c r="V12">
        <v>0.78559999999999997</v>
      </c>
      <c r="W12">
        <v>0</v>
      </c>
      <c r="X12">
        <f t="shared" si="2"/>
        <v>-0.26327800000000001</v>
      </c>
    </row>
    <row r="13" spans="2:24" x14ac:dyDescent="0.2">
      <c r="B13">
        <v>0.83958600000000005</v>
      </c>
      <c r="C13">
        <v>-3.3000000000000002E-2</v>
      </c>
      <c r="D13">
        <v>-0.39169999999999999</v>
      </c>
      <c r="E13">
        <v>0</v>
      </c>
      <c r="F13">
        <f t="shared" si="0"/>
        <v>-0.16041399999999995</v>
      </c>
      <c r="H13">
        <v>0.85737399999999997</v>
      </c>
      <c r="I13">
        <v>0.111</v>
      </c>
      <c r="J13">
        <v>1.3168</v>
      </c>
      <c r="K13">
        <v>0</v>
      </c>
      <c r="L13">
        <f t="shared" si="1"/>
        <v>-0.14262600000000003</v>
      </c>
      <c r="N13">
        <v>0.84298600000000001</v>
      </c>
      <c r="O13">
        <v>-0.08</v>
      </c>
      <c r="P13">
        <v>-0.94240000000000002</v>
      </c>
      <c r="Q13">
        <f t="shared" si="3"/>
        <v>-0.15701399999999999</v>
      </c>
      <c r="T13">
        <v>0.82602699999999996</v>
      </c>
      <c r="U13">
        <v>8.7999999999999995E-2</v>
      </c>
      <c r="V13">
        <v>1.1938</v>
      </c>
      <c r="W13">
        <v>0</v>
      </c>
      <c r="X13">
        <f t="shared" si="2"/>
        <v>-0.17397300000000004</v>
      </c>
    </row>
    <row r="14" spans="2:24" x14ac:dyDescent="0.2">
      <c r="B14">
        <v>0.91966800000000004</v>
      </c>
      <c r="C14">
        <v>-8.9999999999999993E-3</v>
      </c>
      <c r="D14">
        <v>-0.1009</v>
      </c>
      <c r="E14">
        <v>0</v>
      </c>
      <c r="F14">
        <f t="shared" si="0"/>
        <v>-8.0331999999999959E-2</v>
      </c>
      <c r="H14">
        <v>0.92168600000000001</v>
      </c>
      <c r="I14">
        <v>0.11899999999999999</v>
      </c>
      <c r="J14">
        <v>1.4024000000000001</v>
      </c>
      <c r="K14">
        <v>0</v>
      </c>
      <c r="L14">
        <f t="shared" si="1"/>
        <v>-7.8313999999999995E-2</v>
      </c>
      <c r="N14">
        <v>0.94878099999999999</v>
      </c>
      <c r="O14">
        <v>-2.4E-2</v>
      </c>
      <c r="P14">
        <v>-0.2777</v>
      </c>
      <c r="Q14">
        <f t="shared" si="3"/>
        <v>-5.1219000000000015E-2</v>
      </c>
      <c r="T14">
        <v>0.91767799999999999</v>
      </c>
      <c r="U14">
        <v>-1.2E-2</v>
      </c>
      <c r="V14">
        <v>-0.14680000000000001</v>
      </c>
      <c r="W14">
        <v>0</v>
      </c>
      <c r="X14">
        <f t="shared" si="2"/>
        <v>-8.2322000000000006E-2</v>
      </c>
    </row>
    <row r="15" spans="2:24" x14ac:dyDescent="0.2">
      <c r="B15">
        <v>1.029115</v>
      </c>
      <c r="C15">
        <v>-3.2000000000000001E-2</v>
      </c>
      <c r="D15">
        <v>-0.37459999999999999</v>
      </c>
      <c r="E15">
        <v>33</v>
      </c>
      <c r="F15">
        <f t="shared" si="0"/>
        <v>2.9115000000000002E-2</v>
      </c>
      <c r="H15">
        <v>1.01474</v>
      </c>
      <c r="I15">
        <v>0.12</v>
      </c>
      <c r="J15">
        <v>1.2618</v>
      </c>
      <c r="K15">
        <v>0</v>
      </c>
      <c r="L15">
        <f t="shared" si="1"/>
        <v>1.4739999999999975E-2</v>
      </c>
      <c r="N15">
        <v>1.0265390000000001</v>
      </c>
      <c r="O15">
        <v>-6.3E-2</v>
      </c>
      <c r="P15">
        <v>-0.65580000000000005</v>
      </c>
      <c r="Q15">
        <f t="shared" si="3"/>
        <v>2.653900000000009E-2</v>
      </c>
      <c r="T15">
        <v>1.010677</v>
      </c>
      <c r="U15">
        <v>-1E-3</v>
      </c>
      <c r="V15">
        <v>-8.6E-3</v>
      </c>
      <c r="W15">
        <v>33</v>
      </c>
      <c r="X15">
        <f t="shared" si="2"/>
        <v>1.0677000000000048E-2</v>
      </c>
    </row>
    <row r="16" spans="2:24" x14ac:dyDescent="0.2">
      <c r="B16">
        <v>1.1093710000000001</v>
      </c>
      <c r="C16">
        <v>-2.3E-2</v>
      </c>
      <c r="D16">
        <v>-0.27189999999999998</v>
      </c>
      <c r="E16">
        <v>33</v>
      </c>
      <c r="F16">
        <f t="shared" si="0"/>
        <v>0.10937100000000011</v>
      </c>
      <c r="H16">
        <v>1.1188</v>
      </c>
      <c r="I16">
        <v>0.05</v>
      </c>
      <c r="J16">
        <v>0.59670000000000001</v>
      </c>
      <c r="K16">
        <v>33</v>
      </c>
      <c r="L16">
        <f t="shared" si="1"/>
        <v>0.11880000000000002</v>
      </c>
      <c r="N16">
        <v>1.1424179999999999</v>
      </c>
      <c r="O16">
        <v>-3.4000000000000002E-2</v>
      </c>
      <c r="P16">
        <v>-0.35289999999999999</v>
      </c>
      <c r="Q16">
        <f t="shared" si="3"/>
        <v>0.14241799999999993</v>
      </c>
      <c r="T16">
        <v>1.0998239999999999</v>
      </c>
      <c r="U16">
        <v>3.5999999999999997E-2</v>
      </c>
      <c r="V16">
        <v>0.42309999999999998</v>
      </c>
      <c r="W16">
        <v>33</v>
      </c>
      <c r="X16">
        <f t="shared" si="2"/>
        <v>9.9823999999999913E-2</v>
      </c>
    </row>
    <row r="17" spans="2:24" x14ac:dyDescent="0.2">
      <c r="B17">
        <v>1.1811780000000001</v>
      </c>
      <c r="C17">
        <v>0.01</v>
      </c>
      <c r="D17">
        <v>0.12139999999999999</v>
      </c>
      <c r="E17">
        <v>33</v>
      </c>
      <c r="F17">
        <f t="shared" si="0"/>
        <v>0.18117800000000006</v>
      </c>
      <c r="H17">
        <v>1.192045</v>
      </c>
      <c r="I17">
        <v>-2E-3</v>
      </c>
      <c r="J17">
        <v>-2.35E-2</v>
      </c>
      <c r="K17">
        <v>33</v>
      </c>
      <c r="L17">
        <f t="shared" si="1"/>
        <v>0.19204500000000002</v>
      </c>
      <c r="N17">
        <v>1.221557</v>
      </c>
      <c r="O17">
        <v>-4.3999999999999997E-2</v>
      </c>
      <c r="P17">
        <v>-0.45900000000000002</v>
      </c>
      <c r="Q17">
        <f t="shared" si="3"/>
        <v>0.221557</v>
      </c>
      <c r="T17">
        <v>1.1979150000000001</v>
      </c>
      <c r="U17">
        <v>4.1000000000000002E-2</v>
      </c>
      <c r="V17">
        <v>0.49220000000000003</v>
      </c>
      <c r="W17">
        <v>33</v>
      </c>
      <c r="X17">
        <f t="shared" si="2"/>
        <v>0.19791500000000006</v>
      </c>
    </row>
    <row r="18" spans="2:24" x14ac:dyDescent="0.2">
      <c r="B18">
        <v>1.290737</v>
      </c>
      <c r="C18">
        <v>3.9E-2</v>
      </c>
      <c r="D18">
        <v>1.2200000000000001E-2</v>
      </c>
      <c r="E18">
        <v>33</v>
      </c>
      <c r="F18">
        <f t="shared" si="0"/>
        <v>0.29073700000000002</v>
      </c>
      <c r="H18">
        <v>1.303042</v>
      </c>
      <c r="I18">
        <v>2.5999999999999999E-2</v>
      </c>
      <c r="J18">
        <v>0.24410000000000001</v>
      </c>
      <c r="K18">
        <v>33</v>
      </c>
      <c r="L18">
        <f t="shared" si="1"/>
        <v>0.30304200000000003</v>
      </c>
      <c r="N18">
        <v>1.284929</v>
      </c>
      <c r="O18">
        <v>-6.7000000000000004E-2</v>
      </c>
      <c r="P18">
        <v>-4.1500000000000002E-2</v>
      </c>
      <c r="Q18">
        <f t="shared" si="3"/>
        <v>0.28492899999999999</v>
      </c>
      <c r="T18">
        <v>1.2857860000000001</v>
      </c>
      <c r="U18">
        <v>5.2999999999999999E-2</v>
      </c>
      <c r="V18">
        <v>1.7299999999999999E-2</v>
      </c>
      <c r="W18">
        <v>33</v>
      </c>
      <c r="X18">
        <f t="shared" si="2"/>
        <v>0.2857860000000001</v>
      </c>
    </row>
    <row r="19" spans="2:24" x14ac:dyDescent="0.2">
      <c r="B19">
        <v>1.370941</v>
      </c>
      <c r="C19">
        <v>4.8000000000000001E-2</v>
      </c>
      <c r="D19">
        <v>6.4999999999999997E-3</v>
      </c>
      <c r="E19">
        <v>33</v>
      </c>
      <c r="F19">
        <f t="shared" si="0"/>
        <v>0.37094099999999997</v>
      </c>
      <c r="H19">
        <v>1.3824050000000001</v>
      </c>
      <c r="I19">
        <v>7.3999999999999996E-2</v>
      </c>
      <c r="J19">
        <v>1.12E-2</v>
      </c>
      <c r="K19">
        <v>33</v>
      </c>
      <c r="L19">
        <f t="shared" si="1"/>
        <v>0.38240500000000011</v>
      </c>
      <c r="N19">
        <v>1.3925320000000001</v>
      </c>
      <c r="O19">
        <v>0.13200000000000001</v>
      </c>
      <c r="P19">
        <v>1.7299999999999999E-2</v>
      </c>
      <c r="Q19">
        <f t="shared" si="3"/>
        <v>0.3925320000000001</v>
      </c>
      <c r="T19">
        <v>1.3772359999999999</v>
      </c>
      <c r="U19">
        <v>3.6999999999999998E-2</v>
      </c>
      <c r="V19">
        <v>1.41E-2</v>
      </c>
      <c r="W19">
        <v>33</v>
      </c>
      <c r="X19">
        <f t="shared" si="2"/>
        <v>0.3772359999999999</v>
      </c>
    </row>
    <row r="20" spans="2:24" x14ac:dyDescent="0.2">
      <c r="B20">
        <v>1.4502790000000001</v>
      </c>
      <c r="C20">
        <v>1.0580000000000001</v>
      </c>
      <c r="D20">
        <v>0.24260000000000001</v>
      </c>
      <c r="E20">
        <v>33</v>
      </c>
      <c r="F20">
        <f t="shared" si="0"/>
        <v>0.4502790000000001</v>
      </c>
      <c r="H20">
        <v>1.447417</v>
      </c>
      <c r="I20">
        <v>0.252</v>
      </c>
      <c r="J20">
        <v>4.4600000000000001E-2</v>
      </c>
      <c r="K20">
        <v>33</v>
      </c>
      <c r="L20">
        <f t="shared" si="1"/>
        <v>0.44741699999999995</v>
      </c>
      <c r="N20">
        <v>1.4835879999999999</v>
      </c>
      <c r="O20">
        <v>3.8220000000000001</v>
      </c>
      <c r="P20">
        <v>0.58430000000000004</v>
      </c>
      <c r="Q20">
        <f t="shared" si="3"/>
        <v>0.48358799999999991</v>
      </c>
      <c r="T20">
        <v>1.4894179999999999</v>
      </c>
      <c r="U20">
        <v>0.61899999999999999</v>
      </c>
      <c r="V20">
        <v>4.5199999999999997E-2</v>
      </c>
      <c r="W20">
        <v>33</v>
      </c>
      <c r="X20">
        <f t="shared" si="2"/>
        <v>0.48941799999999991</v>
      </c>
    </row>
    <row r="21" spans="2:24" x14ac:dyDescent="0.2">
      <c r="B21">
        <v>1.5611870000000001</v>
      </c>
      <c r="C21">
        <v>6.5140000000000002</v>
      </c>
      <c r="D21">
        <v>1.6477999999999999</v>
      </c>
      <c r="E21">
        <v>33</v>
      </c>
      <c r="F21">
        <f t="shared" si="0"/>
        <v>0.5611870000000001</v>
      </c>
      <c r="H21">
        <v>1.572236</v>
      </c>
      <c r="I21">
        <v>3.2120000000000002</v>
      </c>
      <c r="J21">
        <v>0.82709999999999995</v>
      </c>
      <c r="K21">
        <v>33</v>
      </c>
      <c r="L21">
        <f t="shared" si="1"/>
        <v>0.57223599999999997</v>
      </c>
      <c r="N21">
        <v>1.561815</v>
      </c>
      <c r="O21">
        <v>13.125</v>
      </c>
      <c r="P21">
        <v>2.0750999999999999</v>
      </c>
      <c r="Q21">
        <f t="shared" si="3"/>
        <v>0.56181499999999995</v>
      </c>
      <c r="T21">
        <v>1.5795980000000001</v>
      </c>
      <c r="U21">
        <v>4.0369999999999999</v>
      </c>
      <c r="V21">
        <v>0.40089999999999998</v>
      </c>
      <c r="W21">
        <v>33</v>
      </c>
      <c r="X21">
        <f t="shared" si="2"/>
        <v>0.57959800000000006</v>
      </c>
    </row>
    <row r="22" spans="2:24" x14ac:dyDescent="0.2">
      <c r="B22">
        <v>1.651089</v>
      </c>
      <c r="C22">
        <v>11.363</v>
      </c>
      <c r="D22">
        <v>2.6610999999999998</v>
      </c>
      <c r="E22">
        <v>33</v>
      </c>
      <c r="F22">
        <f t="shared" si="0"/>
        <v>0.65108900000000003</v>
      </c>
      <c r="H22">
        <v>1.652012</v>
      </c>
      <c r="I22">
        <v>10.167</v>
      </c>
      <c r="J22">
        <v>2.5909</v>
      </c>
      <c r="K22">
        <v>33</v>
      </c>
      <c r="L22">
        <f t="shared" si="1"/>
        <v>0.65201200000000004</v>
      </c>
      <c r="N22">
        <v>1.680947</v>
      </c>
      <c r="O22">
        <v>22.428000000000001</v>
      </c>
      <c r="P22">
        <v>3.7917000000000001</v>
      </c>
      <c r="Q22">
        <f t="shared" si="3"/>
        <v>0.68094699999999997</v>
      </c>
      <c r="T22">
        <v>1.647135</v>
      </c>
      <c r="U22">
        <v>15.718999999999999</v>
      </c>
      <c r="V22">
        <v>1.819</v>
      </c>
      <c r="W22">
        <v>33</v>
      </c>
      <c r="X22">
        <f t="shared" si="2"/>
        <v>0.64713500000000002</v>
      </c>
    </row>
    <row r="23" spans="2:24" x14ac:dyDescent="0.2">
      <c r="B23">
        <v>1.738421</v>
      </c>
      <c r="C23">
        <v>12.065</v>
      </c>
      <c r="D23">
        <v>2.8913000000000002</v>
      </c>
      <c r="E23">
        <v>33</v>
      </c>
      <c r="F23">
        <f t="shared" si="0"/>
        <v>0.73842099999999999</v>
      </c>
      <c r="H23">
        <v>1.72675</v>
      </c>
      <c r="I23">
        <v>13.103</v>
      </c>
      <c r="J23">
        <v>3.2951999999999999</v>
      </c>
      <c r="K23">
        <v>33</v>
      </c>
      <c r="L23">
        <f t="shared" si="1"/>
        <v>0.72675000000000001</v>
      </c>
      <c r="N23">
        <v>1.7704869999999999</v>
      </c>
      <c r="O23">
        <v>24.244</v>
      </c>
      <c r="P23">
        <v>4.1336000000000004</v>
      </c>
      <c r="Q23">
        <f t="shared" si="3"/>
        <v>0.77048699999999992</v>
      </c>
      <c r="T23">
        <v>1.749177</v>
      </c>
      <c r="U23">
        <v>30.169</v>
      </c>
      <c r="V23">
        <v>3.6852999999999998</v>
      </c>
      <c r="W23">
        <v>33</v>
      </c>
      <c r="X23">
        <f t="shared" si="2"/>
        <v>0.74917699999999998</v>
      </c>
    </row>
    <row r="24" spans="2:24" x14ac:dyDescent="0.2">
      <c r="B24">
        <v>1.856662</v>
      </c>
      <c r="C24">
        <v>11.968999999999999</v>
      </c>
      <c r="D24">
        <v>2.6234999999999999</v>
      </c>
      <c r="E24">
        <v>33</v>
      </c>
      <c r="F24">
        <f t="shared" si="0"/>
        <v>0.85666200000000003</v>
      </c>
      <c r="H24">
        <v>1.8473170000000001</v>
      </c>
      <c r="I24">
        <v>13.077</v>
      </c>
      <c r="J24">
        <v>3.181</v>
      </c>
      <c r="K24">
        <v>33</v>
      </c>
      <c r="L24">
        <f t="shared" si="1"/>
        <v>0.8473170000000001</v>
      </c>
      <c r="N24">
        <v>1.836041</v>
      </c>
      <c r="O24">
        <v>24.492000000000001</v>
      </c>
      <c r="P24">
        <v>4.0537999999999998</v>
      </c>
      <c r="Q24">
        <f t="shared" si="3"/>
        <v>0.83604100000000003</v>
      </c>
      <c r="T24">
        <v>1.8419810000000001</v>
      </c>
      <c r="U24">
        <v>38.411999999999999</v>
      </c>
      <c r="V24">
        <v>4.6479999999999997</v>
      </c>
      <c r="W24">
        <v>33</v>
      </c>
      <c r="X24">
        <f t="shared" si="2"/>
        <v>0.84198100000000009</v>
      </c>
    </row>
    <row r="25" spans="2:24" x14ac:dyDescent="0.2">
      <c r="B25">
        <v>1.9343109999999999</v>
      </c>
      <c r="C25">
        <v>11.842000000000001</v>
      </c>
      <c r="D25">
        <v>2.8302</v>
      </c>
      <c r="E25">
        <v>33</v>
      </c>
      <c r="F25">
        <f t="shared" si="0"/>
        <v>0.93431099999999989</v>
      </c>
      <c r="H25">
        <v>1.9253549999999999</v>
      </c>
      <c r="I25">
        <v>12.977</v>
      </c>
      <c r="J25">
        <v>2.9821</v>
      </c>
      <c r="K25">
        <v>33</v>
      </c>
      <c r="L25">
        <f t="shared" si="1"/>
        <v>0.92535499999999993</v>
      </c>
      <c r="N25">
        <v>1.943249</v>
      </c>
      <c r="O25">
        <v>24.466999999999999</v>
      </c>
      <c r="P25">
        <v>4.2201000000000004</v>
      </c>
      <c r="Q25">
        <f t="shared" si="3"/>
        <v>0.943249</v>
      </c>
      <c r="T25">
        <v>1.9419630000000001</v>
      </c>
      <c r="U25">
        <v>41.753</v>
      </c>
      <c r="V25">
        <v>5.2028999999999996</v>
      </c>
      <c r="W25">
        <v>33</v>
      </c>
      <c r="X25">
        <f t="shared" si="2"/>
        <v>0.94196300000000011</v>
      </c>
    </row>
    <row r="26" spans="2:24" x14ac:dyDescent="0.2">
      <c r="B26">
        <v>2.0418790000000002</v>
      </c>
      <c r="C26">
        <v>11.768000000000001</v>
      </c>
      <c r="D26">
        <v>2.7115999999999998</v>
      </c>
      <c r="E26">
        <v>33</v>
      </c>
      <c r="F26">
        <f t="shared" si="0"/>
        <v>1.0418790000000002</v>
      </c>
      <c r="H26">
        <v>2.014815</v>
      </c>
      <c r="I26">
        <v>12.958</v>
      </c>
      <c r="J26">
        <v>3.3294999999999999</v>
      </c>
      <c r="K26">
        <v>33</v>
      </c>
      <c r="L26">
        <f t="shared" si="1"/>
        <v>1.014815</v>
      </c>
      <c r="N26">
        <v>2.0216560000000001</v>
      </c>
      <c r="O26">
        <v>24.472000000000001</v>
      </c>
      <c r="P26">
        <v>4.0858999999999996</v>
      </c>
      <c r="Q26">
        <f t="shared" si="3"/>
        <v>1.0216560000000001</v>
      </c>
      <c r="T26">
        <v>2.0402</v>
      </c>
      <c r="U26">
        <v>42.878</v>
      </c>
      <c r="V26">
        <v>5.5311000000000003</v>
      </c>
      <c r="W26">
        <v>33</v>
      </c>
      <c r="X26">
        <f t="shared" si="2"/>
        <v>1.0402</v>
      </c>
    </row>
    <row r="27" spans="2:24" x14ac:dyDescent="0.2">
      <c r="B27">
        <v>2.1204339999999999</v>
      </c>
      <c r="C27">
        <v>11.763</v>
      </c>
      <c r="D27">
        <v>2.7925</v>
      </c>
      <c r="E27">
        <v>33</v>
      </c>
      <c r="F27">
        <f t="shared" si="0"/>
        <v>1.1204339999999999</v>
      </c>
      <c r="H27">
        <v>2.0925210000000001</v>
      </c>
      <c r="I27">
        <v>12.944000000000001</v>
      </c>
      <c r="J27">
        <v>3.3447</v>
      </c>
      <c r="K27">
        <v>33</v>
      </c>
      <c r="L27">
        <f t="shared" si="1"/>
        <v>1.0925210000000001</v>
      </c>
      <c r="N27">
        <v>2.1105260000000001</v>
      </c>
      <c r="O27">
        <v>24.552</v>
      </c>
      <c r="P27">
        <v>4.2744999999999997</v>
      </c>
      <c r="Q27">
        <f t="shared" si="3"/>
        <v>1.1105260000000001</v>
      </c>
      <c r="T27">
        <v>2.127373</v>
      </c>
      <c r="U27">
        <v>43.286999999999999</v>
      </c>
      <c r="V27">
        <v>5.4147999999999996</v>
      </c>
      <c r="W27">
        <v>33</v>
      </c>
      <c r="X27">
        <f t="shared" si="2"/>
        <v>1.127373</v>
      </c>
    </row>
    <row r="28" spans="2:24" x14ac:dyDescent="0.2">
      <c r="B28">
        <v>2.1820200000000001</v>
      </c>
      <c r="C28">
        <v>11.836</v>
      </c>
      <c r="D28">
        <v>3.0274999999999999</v>
      </c>
      <c r="E28">
        <v>33</v>
      </c>
      <c r="F28">
        <f t="shared" si="0"/>
        <v>1.1820200000000001</v>
      </c>
      <c r="H28">
        <v>2.2011599999999998</v>
      </c>
      <c r="I28">
        <v>12.941000000000001</v>
      </c>
      <c r="J28">
        <v>2.9868000000000001</v>
      </c>
      <c r="K28">
        <v>33</v>
      </c>
      <c r="L28">
        <f t="shared" si="1"/>
        <v>1.2011599999999998</v>
      </c>
      <c r="N28">
        <v>2.2127249999999998</v>
      </c>
      <c r="O28">
        <v>24.54</v>
      </c>
      <c r="P28">
        <v>4.0067000000000004</v>
      </c>
      <c r="Q28">
        <f t="shared" si="3"/>
        <v>1.2127249999999998</v>
      </c>
      <c r="T28">
        <v>2.2166359999999998</v>
      </c>
      <c r="U28">
        <v>43.454000000000001</v>
      </c>
      <c r="V28">
        <v>5.5776000000000003</v>
      </c>
      <c r="W28">
        <v>33</v>
      </c>
      <c r="X28">
        <f t="shared" si="2"/>
        <v>1.2166359999999998</v>
      </c>
    </row>
    <row r="29" spans="2:24" x14ac:dyDescent="0.2">
      <c r="B29">
        <v>2.2882180000000001</v>
      </c>
      <c r="C29">
        <v>11.781000000000001</v>
      </c>
      <c r="D29">
        <v>2.6749000000000001</v>
      </c>
      <c r="E29">
        <v>33</v>
      </c>
      <c r="F29">
        <f t="shared" si="0"/>
        <v>1.2882180000000001</v>
      </c>
      <c r="H29">
        <v>2.2782610000000001</v>
      </c>
      <c r="I29">
        <v>12.855</v>
      </c>
      <c r="J29">
        <v>2.9746999999999999</v>
      </c>
      <c r="K29">
        <v>33</v>
      </c>
      <c r="L29">
        <f t="shared" si="1"/>
        <v>1.2782610000000001</v>
      </c>
      <c r="N29">
        <v>2.3199779999999999</v>
      </c>
      <c r="O29">
        <v>24.46</v>
      </c>
      <c r="P29">
        <v>4.2011000000000003</v>
      </c>
      <c r="Q29">
        <f t="shared" si="3"/>
        <v>1.3199779999999999</v>
      </c>
      <c r="T29">
        <v>2.3067440000000001</v>
      </c>
      <c r="U29">
        <v>43.618000000000002</v>
      </c>
      <c r="V29">
        <v>5.4096000000000002</v>
      </c>
      <c r="W29">
        <v>33</v>
      </c>
      <c r="X29">
        <f t="shared" si="2"/>
        <v>1.3067440000000001</v>
      </c>
    </row>
    <row r="30" spans="2:24" x14ac:dyDescent="0.2">
      <c r="B30">
        <v>2.3889149999999999</v>
      </c>
      <c r="C30">
        <v>11.794</v>
      </c>
      <c r="D30">
        <v>2.653</v>
      </c>
      <c r="E30">
        <v>33</v>
      </c>
      <c r="F30">
        <f t="shared" si="0"/>
        <v>1.3889149999999999</v>
      </c>
      <c r="H30">
        <v>2.387178</v>
      </c>
      <c r="I30">
        <v>12.776</v>
      </c>
      <c r="J30">
        <v>3.2648999999999999</v>
      </c>
      <c r="K30">
        <v>33</v>
      </c>
      <c r="L30">
        <f t="shared" si="1"/>
        <v>1.387178</v>
      </c>
      <c r="N30">
        <v>2.3984899999999998</v>
      </c>
      <c r="O30">
        <v>24.434999999999999</v>
      </c>
      <c r="P30">
        <v>3.7991999999999999</v>
      </c>
      <c r="Q30">
        <f t="shared" si="3"/>
        <v>1.3984899999999998</v>
      </c>
      <c r="T30">
        <v>2.3948230000000001</v>
      </c>
      <c r="U30">
        <v>43.679000000000002</v>
      </c>
      <c r="V30">
        <v>5.6417999999999999</v>
      </c>
      <c r="W30">
        <v>33</v>
      </c>
      <c r="X30">
        <f t="shared" si="2"/>
        <v>1.3948230000000001</v>
      </c>
    </row>
    <row r="31" spans="2:24" x14ac:dyDescent="0.2">
      <c r="B31">
        <v>2.4946250000000001</v>
      </c>
      <c r="C31">
        <v>11.816000000000001</v>
      </c>
      <c r="D31">
        <v>2.5158999999999998</v>
      </c>
      <c r="E31">
        <v>33</v>
      </c>
      <c r="F31">
        <f t="shared" si="0"/>
        <v>1.4946250000000001</v>
      </c>
      <c r="H31">
        <v>2.4649320000000001</v>
      </c>
      <c r="I31">
        <v>12.78</v>
      </c>
      <c r="J31">
        <v>3.0928</v>
      </c>
      <c r="K31">
        <v>33</v>
      </c>
      <c r="L31">
        <f t="shared" si="1"/>
        <v>1.4649320000000001</v>
      </c>
      <c r="N31">
        <v>2.506446</v>
      </c>
      <c r="O31">
        <v>24.425000000000001</v>
      </c>
      <c r="P31">
        <v>3.9916</v>
      </c>
      <c r="Q31">
        <f t="shared" si="3"/>
        <v>1.506446</v>
      </c>
      <c r="T31">
        <v>2.486313</v>
      </c>
      <c r="U31">
        <v>43.655000000000001</v>
      </c>
      <c r="V31">
        <v>5.2210000000000001</v>
      </c>
      <c r="W31">
        <v>33</v>
      </c>
      <c r="X31">
        <f t="shared" si="2"/>
        <v>1.486313</v>
      </c>
    </row>
    <row r="32" spans="2:24" x14ac:dyDescent="0.2">
      <c r="B32">
        <v>2.5720519999999998</v>
      </c>
      <c r="C32">
        <v>11.705</v>
      </c>
      <c r="D32">
        <v>2.5375000000000001</v>
      </c>
      <c r="E32">
        <v>33</v>
      </c>
      <c r="F32">
        <f t="shared" si="0"/>
        <v>1.5720519999999998</v>
      </c>
      <c r="H32">
        <v>2.5726239999999998</v>
      </c>
      <c r="I32">
        <v>12.881</v>
      </c>
      <c r="J32">
        <v>3.2574999999999998</v>
      </c>
      <c r="K32">
        <v>33</v>
      </c>
      <c r="L32">
        <f t="shared" si="1"/>
        <v>1.5726239999999998</v>
      </c>
      <c r="N32">
        <v>2.5859260000000002</v>
      </c>
      <c r="O32">
        <v>24.43</v>
      </c>
      <c r="P32">
        <v>3.8683000000000001</v>
      </c>
      <c r="Q32">
        <f t="shared" si="3"/>
        <v>1.5859260000000002</v>
      </c>
      <c r="T32">
        <v>2.575215</v>
      </c>
      <c r="U32">
        <v>43.777000000000001</v>
      </c>
      <c r="V32">
        <v>5.3513000000000002</v>
      </c>
      <c r="W32">
        <v>33</v>
      </c>
      <c r="X32">
        <f t="shared" si="2"/>
        <v>1.575215</v>
      </c>
    </row>
    <row r="33" spans="2:24" x14ac:dyDescent="0.2">
      <c r="B33">
        <v>2.6778379999999999</v>
      </c>
      <c r="C33">
        <v>11.775</v>
      </c>
      <c r="D33">
        <v>2.8454000000000002</v>
      </c>
      <c r="E33">
        <v>33</v>
      </c>
      <c r="F33">
        <f t="shared" si="0"/>
        <v>1.6778379999999999</v>
      </c>
      <c r="H33">
        <v>2.6499459999999999</v>
      </c>
      <c r="I33">
        <v>12.894</v>
      </c>
      <c r="J33">
        <v>3.1379000000000001</v>
      </c>
      <c r="K33">
        <v>33</v>
      </c>
      <c r="L33">
        <f t="shared" si="1"/>
        <v>1.6499459999999999</v>
      </c>
      <c r="N33">
        <v>2.6923629999999998</v>
      </c>
      <c r="O33">
        <v>24.527999999999999</v>
      </c>
      <c r="P33">
        <v>4.0290999999999997</v>
      </c>
      <c r="Q33">
        <f t="shared" si="3"/>
        <v>1.6923629999999998</v>
      </c>
      <c r="T33">
        <v>2.6667450000000001</v>
      </c>
      <c r="U33">
        <v>43.887999999999998</v>
      </c>
      <c r="V33">
        <v>5.4309000000000003</v>
      </c>
      <c r="W33">
        <v>33</v>
      </c>
      <c r="X33">
        <f t="shared" si="2"/>
        <v>1.6667450000000001</v>
      </c>
    </row>
    <row r="34" spans="2:24" x14ac:dyDescent="0.2">
      <c r="B34">
        <v>2.75597</v>
      </c>
      <c r="C34">
        <v>11.736000000000001</v>
      </c>
      <c r="D34">
        <v>2.6402999999999999</v>
      </c>
      <c r="E34">
        <v>33</v>
      </c>
      <c r="F34">
        <f t="shared" si="0"/>
        <v>1.75597</v>
      </c>
      <c r="H34">
        <v>2.75787</v>
      </c>
      <c r="I34">
        <v>12.867000000000001</v>
      </c>
      <c r="J34">
        <v>3.0529000000000002</v>
      </c>
      <c r="K34">
        <v>33</v>
      </c>
      <c r="L34">
        <f t="shared" si="1"/>
        <v>1.75787</v>
      </c>
      <c r="N34">
        <v>2.7696429999999999</v>
      </c>
      <c r="O34">
        <v>24.536000000000001</v>
      </c>
      <c r="P34">
        <v>3.8698000000000001</v>
      </c>
      <c r="Q34">
        <f t="shared" si="3"/>
        <v>1.7696429999999999</v>
      </c>
      <c r="T34">
        <v>2.7575479999999999</v>
      </c>
      <c r="U34">
        <v>43.905000000000001</v>
      </c>
      <c r="V34">
        <v>5.5518999999999998</v>
      </c>
      <c r="W34">
        <v>33</v>
      </c>
      <c r="X34">
        <f t="shared" si="2"/>
        <v>1.7575479999999999</v>
      </c>
    </row>
    <row r="35" spans="2:24" x14ac:dyDescent="0.2">
      <c r="B35">
        <v>2.8639329999999998</v>
      </c>
      <c r="C35">
        <v>11.676</v>
      </c>
      <c r="D35">
        <v>2.9379</v>
      </c>
      <c r="E35">
        <v>33</v>
      </c>
      <c r="F35">
        <f t="shared" si="0"/>
        <v>1.8639329999999998</v>
      </c>
      <c r="H35">
        <v>2.8352270000000002</v>
      </c>
      <c r="I35">
        <v>12.938000000000001</v>
      </c>
      <c r="J35">
        <v>3.1882000000000001</v>
      </c>
      <c r="K35">
        <v>33</v>
      </c>
      <c r="L35">
        <f t="shared" si="1"/>
        <v>1.8352270000000002</v>
      </c>
      <c r="N35">
        <v>2.875127</v>
      </c>
      <c r="O35">
        <v>24.533000000000001</v>
      </c>
      <c r="P35">
        <v>4.0641999999999996</v>
      </c>
      <c r="Q35">
        <f t="shared" si="3"/>
        <v>1.875127</v>
      </c>
      <c r="T35">
        <v>2.8490479999999998</v>
      </c>
      <c r="U35">
        <v>43.817</v>
      </c>
      <c r="V35">
        <v>5.5247000000000002</v>
      </c>
      <c r="W35">
        <v>33</v>
      </c>
      <c r="X35">
        <f t="shared" si="2"/>
        <v>1.8490479999999998</v>
      </c>
    </row>
    <row r="36" spans="2:24" x14ac:dyDescent="0.2">
      <c r="B36">
        <v>2.9426160000000001</v>
      </c>
      <c r="C36">
        <v>11.632999999999999</v>
      </c>
      <c r="D36">
        <v>2.5817000000000001</v>
      </c>
      <c r="E36">
        <v>33</v>
      </c>
      <c r="F36">
        <f t="shared" si="0"/>
        <v>1.9426160000000001</v>
      </c>
      <c r="H36">
        <v>2.9429340000000002</v>
      </c>
      <c r="I36">
        <v>12.903</v>
      </c>
      <c r="J36">
        <v>2.9931000000000001</v>
      </c>
      <c r="K36">
        <v>33</v>
      </c>
      <c r="L36">
        <f t="shared" si="1"/>
        <v>1.9429340000000002</v>
      </c>
      <c r="N36">
        <v>2.952064</v>
      </c>
      <c r="O36">
        <v>24.548999999999999</v>
      </c>
      <c r="P36">
        <v>4.1619999999999999</v>
      </c>
      <c r="Q36">
        <f t="shared" si="3"/>
        <v>1.952064</v>
      </c>
      <c r="T36">
        <v>2.9354960000000001</v>
      </c>
      <c r="U36">
        <v>43.875</v>
      </c>
      <c r="V36">
        <v>5.2991999999999999</v>
      </c>
      <c r="W36">
        <v>33</v>
      </c>
      <c r="X36">
        <f t="shared" si="2"/>
        <v>1.9354960000000001</v>
      </c>
    </row>
    <row r="37" spans="2:24" x14ac:dyDescent="0.2">
      <c r="B37">
        <v>3.0506039999999999</v>
      </c>
      <c r="C37">
        <v>11.664999999999999</v>
      </c>
      <c r="D37">
        <v>2.9209000000000001</v>
      </c>
      <c r="E37">
        <v>33</v>
      </c>
      <c r="F37">
        <f t="shared" si="0"/>
        <v>2.0506039999999999</v>
      </c>
      <c r="H37">
        <v>3.0206300000000001</v>
      </c>
      <c r="I37">
        <v>12.874000000000001</v>
      </c>
      <c r="J37">
        <v>2.9512999999999998</v>
      </c>
      <c r="K37">
        <v>33</v>
      </c>
      <c r="L37">
        <f t="shared" si="1"/>
        <v>2.0206300000000001</v>
      </c>
      <c r="N37">
        <v>3.058942</v>
      </c>
      <c r="O37">
        <v>24.518000000000001</v>
      </c>
      <c r="P37">
        <v>3.9041000000000001</v>
      </c>
      <c r="Q37">
        <f t="shared" si="3"/>
        <v>2.058942</v>
      </c>
      <c r="T37">
        <v>3.029827</v>
      </c>
      <c r="U37">
        <v>43.822000000000003</v>
      </c>
      <c r="V37">
        <v>5.4508000000000001</v>
      </c>
      <c r="W37">
        <v>33</v>
      </c>
      <c r="X37">
        <f t="shared" si="2"/>
        <v>2.029827</v>
      </c>
    </row>
    <row r="38" spans="2:24" x14ac:dyDescent="0.2">
      <c r="B38">
        <v>3.129448</v>
      </c>
      <c r="C38">
        <v>11.695</v>
      </c>
      <c r="D38">
        <v>2.9851999999999999</v>
      </c>
      <c r="E38">
        <v>33</v>
      </c>
      <c r="F38">
        <f t="shared" si="0"/>
        <v>2.129448</v>
      </c>
      <c r="H38">
        <v>3.1302249999999998</v>
      </c>
      <c r="I38">
        <v>12.938000000000001</v>
      </c>
      <c r="J38">
        <v>3.2829999999999999</v>
      </c>
      <c r="K38">
        <v>33</v>
      </c>
      <c r="L38">
        <f t="shared" si="1"/>
        <v>2.1302249999999998</v>
      </c>
      <c r="N38">
        <v>3.137108</v>
      </c>
      <c r="O38">
        <v>24.559000000000001</v>
      </c>
      <c r="P38">
        <v>4.0903999999999998</v>
      </c>
      <c r="Q38">
        <f t="shared" si="3"/>
        <v>2.137108</v>
      </c>
      <c r="T38">
        <v>3.1190600000000002</v>
      </c>
      <c r="U38">
        <v>43.853999999999999</v>
      </c>
      <c r="V38">
        <v>5.6139000000000001</v>
      </c>
      <c r="W38">
        <v>33</v>
      </c>
      <c r="X38">
        <f t="shared" si="2"/>
        <v>2.1190600000000002</v>
      </c>
    </row>
    <row r="39" spans="2:24" x14ac:dyDescent="0.2">
      <c r="B39">
        <v>3.2363</v>
      </c>
      <c r="C39">
        <v>11.682</v>
      </c>
      <c r="D39">
        <v>2.9036</v>
      </c>
      <c r="E39">
        <v>33</v>
      </c>
      <c r="F39">
        <f t="shared" si="0"/>
        <v>2.2363</v>
      </c>
      <c r="H39">
        <v>3.207821</v>
      </c>
      <c r="I39">
        <v>12.925000000000001</v>
      </c>
      <c r="J39">
        <v>3.1048</v>
      </c>
      <c r="K39">
        <v>33</v>
      </c>
      <c r="L39">
        <f t="shared" si="1"/>
        <v>2.207821</v>
      </c>
      <c r="N39">
        <v>3.2489129999999999</v>
      </c>
      <c r="O39">
        <v>24.565999999999999</v>
      </c>
      <c r="P39">
        <v>4.2626999999999997</v>
      </c>
      <c r="Q39">
        <f t="shared" si="3"/>
        <v>2.2489129999999999</v>
      </c>
      <c r="T39">
        <v>3.2361900000000001</v>
      </c>
      <c r="U39">
        <v>43.798000000000002</v>
      </c>
      <c r="V39">
        <v>5.4137000000000004</v>
      </c>
      <c r="W39">
        <v>33</v>
      </c>
      <c r="X39">
        <f t="shared" si="2"/>
        <v>2.2361900000000001</v>
      </c>
    </row>
    <row r="40" spans="2:24" x14ac:dyDescent="0.2">
      <c r="B40">
        <v>3.3143379999999998</v>
      </c>
      <c r="C40">
        <v>11.685</v>
      </c>
      <c r="D40">
        <v>2.6623000000000001</v>
      </c>
      <c r="E40">
        <v>33</v>
      </c>
      <c r="F40">
        <f t="shared" si="0"/>
        <v>2.3143379999999998</v>
      </c>
      <c r="H40">
        <v>3.3161849999999999</v>
      </c>
      <c r="I40">
        <v>12.86</v>
      </c>
      <c r="J40">
        <v>3.2786</v>
      </c>
      <c r="K40">
        <v>33</v>
      </c>
      <c r="L40">
        <f t="shared" si="1"/>
        <v>2.3161849999999999</v>
      </c>
      <c r="N40">
        <v>3.3279380000000001</v>
      </c>
      <c r="O40">
        <v>24.527999999999999</v>
      </c>
      <c r="P40">
        <v>3.8473000000000002</v>
      </c>
      <c r="Q40">
        <f t="shared" si="3"/>
        <v>2.3279380000000001</v>
      </c>
      <c r="T40">
        <v>3.3303530000000001</v>
      </c>
      <c r="U40">
        <v>43.703000000000003</v>
      </c>
      <c r="V40">
        <v>5.2834000000000003</v>
      </c>
      <c r="W40">
        <v>33</v>
      </c>
      <c r="X40">
        <f t="shared" si="2"/>
        <v>2.3303530000000001</v>
      </c>
    </row>
    <row r="41" spans="2:24" x14ac:dyDescent="0.2">
      <c r="B41">
        <v>3.4040349999999999</v>
      </c>
      <c r="C41">
        <v>11.679</v>
      </c>
      <c r="D41">
        <v>2.7730000000000001</v>
      </c>
      <c r="E41">
        <v>33</v>
      </c>
      <c r="F41">
        <f t="shared" si="0"/>
        <v>2.4040349999999999</v>
      </c>
      <c r="H41">
        <v>3.3936220000000001</v>
      </c>
      <c r="I41">
        <v>12.877000000000001</v>
      </c>
      <c r="J41">
        <v>3.0495000000000001</v>
      </c>
      <c r="K41">
        <v>33</v>
      </c>
      <c r="L41">
        <f t="shared" si="1"/>
        <v>2.3936220000000001</v>
      </c>
      <c r="N41">
        <v>3.4347859999999999</v>
      </c>
      <c r="O41">
        <v>24.437999999999999</v>
      </c>
      <c r="P41">
        <v>4.2342000000000004</v>
      </c>
      <c r="Q41">
        <f t="shared" si="3"/>
        <v>2.4347859999999999</v>
      </c>
      <c r="T41">
        <v>3.395308</v>
      </c>
      <c r="U41">
        <v>43.695</v>
      </c>
      <c r="V41">
        <v>5.5831</v>
      </c>
      <c r="W41">
        <v>33</v>
      </c>
      <c r="X41">
        <f t="shared" si="2"/>
        <v>2.395308</v>
      </c>
    </row>
    <row r="42" spans="2:24" x14ac:dyDescent="0.2">
      <c r="B42">
        <v>3.4826549999999998</v>
      </c>
      <c r="C42">
        <v>11.669</v>
      </c>
      <c r="D42">
        <v>2.5781000000000001</v>
      </c>
      <c r="E42">
        <v>33</v>
      </c>
      <c r="F42">
        <f t="shared" si="0"/>
        <v>2.4826549999999998</v>
      </c>
      <c r="H42">
        <v>3.5021689999999999</v>
      </c>
      <c r="I42">
        <v>12.861000000000001</v>
      </c>
      <c r="J42">
        <v>2.9706000000000001</v>
      </c>
      <c r="K42">
        <v>33</v>
      </c>
      <c r="L42">
        <f t="shared" si="1"/>
        <v>2.5021689999999999</v>
      </c>
      <c r="N42">
        <v>3.5122309999999999</v>
      </c>
      <c r="O42">
        <v>24.515000000000001</v>
      </c>
      <c r="P42">
        <v>4.1637000000000004</v>
      </c>
      <c r="Q42">
        <f t="shared" si="3"/>
        <v>2.5122309999999999</v>
      </c>
      <c r="T42">
        <v>3.4922309999999999</v>
      </c>
      <c r="U42">
        <v>43.802999999999997</v>
      </c>
      <c r="V42">
        <v>5.3771000000000004</v>
      </c>
      <c r="W42">
        <v>33</v>
      </c>
      <c r="X42">
        <f t="shared" si="2"/>
        <v>2.4922309999999999</v>
      </c>
    </row>
    <row r="43" spans="2:24" x14ac:dyDescent="0.2">
      <c r="B43">
        <v>3.5913750000000002</v>
      </c>
      <c r="C43">
        <v>11.646000000000001</v>
      </c>
      <c r="D43">
        <v>2.6911999999999998</v>
      </c>
      <c r="E43">
        <v>33</v>
      </c>
      <c r="F43">
        <f t="shared" si="0"/>
        <v>2.5913750000000002</v>
      </c>
      <c r="H43">
        <v>3.581251</v>
      </c>
      <c r="I43">
        <v>12.942</v>
      </c>
      <c r="J43">
        <v>2.9136000000000002</v>
      </c>
      <c r="K43">
        <v>33</v>
      </c>
      <c r="L43">
        <f t="shared" si="1"/>
        <v>2.581251</v>
      </c>
      <c r="N43">
        <v>3.6181260000000002</v>
      </c>
      <c r="O43">
        <v>24.565999999999999</v>
      </c>
      <c r="P43">
        <v>4.0857000000000001</v>
      </c>
      <c r="Q43">
        <f t="shared" si="3"/>
        <v>2.6181260000000002</v>
      </c>
      <c r="T43">
        <v>3.5819329999999998</v>
      </c>
      <c r="U43">
        <v>43.823999999999998</v>
      </c>
      <c r="V43">
        <v>5.4673999999999996</v>
      </c>
      <c r="W43">
        <v>33</v>
      </c>
      <c r="X43">
        <f t="shared" si="2"/>
        <v>2.5819329999999998</v>
      </c>
    </row>
    <row r="44" spans="2:24" x14ac:dyDescent="0.2">
      <c r="B44">
        <v>3.6702870000000001</v>
      </c>
      <c r="C44">
        <v>11.683</v>
      </c>
      <c r="D44">
        <v>3.1955</v>
      </c>
      <c r="E44">
        <v>33</v>
      </c>
      <c r="F44">
        <f t="shared" si="0"/>
        <v>2.6702870000000001</v>
      </c>
      <c r="H44">
        <v>3.6888860000000001</v>
      </c>
      <c r="I44">
        <v>12.981999999999999</v>
      </c>
      <c r="J44">
        <v>3.2090999999999998</v>
      </c>
      <c r="K44">
        <v>33</v>
      </c>
      <c r="L44">
        <f t="shared" si="1"/>
        <v>2.6888860000000001</v>
      </c>
      <c r="N44">
        <v>3.6952600000000002</v>
      </c>
      <c r="O44">
        <v>24.459</v>
      </c>
      <c r="P44">
        <v>4.0095999999999998</v>
      </c>
      <c r="Q44">
        <f t="shared" si="3"/>
        <v>2.6952600000000002</v>
      </c>
      <c r="T44">
        <v>3.674388</v>
      </c>
      <c r="U44">
        <v>43.811</v>
      </c>
      <c r="V44">
        <v>5.5369999999999999</v>
      </c>
      <c r="W44">
        <v>33</v>
      </c>
      <c r="X44">
        <f t="shared" si="2"/>
        <v>2.674388</v>
      </c>
    </row>
    <row r="45" spans="2:24" x14ac:dyDescent="0.2">
      <c r="B45">
        <v>3.7790020000000002</v>
      </c>
      <c r="C45">
        <v>11.744</v>
      </c>
      <c r="D45">
        <v>2.8157000000000001</v>
      </c>
      <c r="E45">
        <v>33</v>
      </c>
      <c r="F45">
        <f t="shared" si="0"/>
        <v>2.7790020000000002</v>
      </c>
      <c r="H45">
        <v>3.7693400000000001</v>
      </c>
      <c r="I45">
        <v>12.99</v>
      </c>
      <c r="J45">
        <v>3.3405999999999998</v>
      </c>
      <c r="K45">
        <v>33</v>
      </c>
      <c r="L45">
        <f t="shared" si="1"/>
        <v>2.7693400000000001</v>
      </c>
      <c r="N45">
        <v>3.8004579999999999</v>
      </c>
      <c r="O45">
        <v>24.353000000000002</v>
      </c>
      <c r="P45">
        <v>3.8039000000000001</v>
      </c>
      <c r="Q45">
        <f t="shared" si="3"/>
        <v>2.8004579999999999</v>
      </c>
      <c r="T45">
        <v>3.7645819999999999</v>
      </c>
      <c r="U45">
        <v>43.787999999999997</v>
      </c>
      <c r="V45">
        <v>5.1639999999999997</v>
      </c>
      <c r="W45">
        <v>33</v>
      </c>
      <c r="X45">
        <f t="shared" si="2"/>
        <v>2.7645819999999999</v>
      </c>
    </row>
    <row r="46" spans="2:24" x14ac:dyDescent="0.2">
      <c r="B46">
        <v>3.8576510000000002</v>
      </c>
      <c r="C46">
        <v>11.797000000000001</v>
      </c>
      <c r="D46">
        <v>3.0268999999999999</v>
      </c>
      <c r="E46">
        <v>33</v>
      </c>
      <c r="F46">
        <f t="shared" si="0"/>
        <v>2.8576510000000002</v>
      </c>
      <c r="H46">
        <v>3.8780929999999998</v>
      </c>
      <c r="I46">
        <v>12.951000000000001</v>
      </c>
      <c r="J46">
        <v>3.2450999999999999</v>
      </c>
      <c r="K46">
        <v>33</v>
      </c>
      <c r="L46">
        <f t="shared" si="1"/>
        <v>2.8780929999999998</v>
      </c>
      <c r="N46">
        <v>3.8784019999999999</v>
      </c>
      <c r="O46">
        <v>24.443000000000001</v>
      </c>
      <c r="P46">
        <v>3.7801999999999998</v>
      </c>
      <c r="Q46">
        <f t="shared" si="3"/>
        <v>2.8784019999999999</v>
      </c>
      <c r="T46">
        <v>3.8835459999999999</v>
      </c>
      <c r="U46">
        <v>43.747999999999998</v>
      </c>
      <c r="V46">
        <v>5.5770999999999997</v>
      </c>
      <c r="W46">
        <v>33</v>
      </c>
      <c r="X46">
        <f t="shared" si="2"/>
        <v>2.8835459999999999</v>
      </c>
    </row>
    <row r="47" spans="2:24" x14ac:dyDescent="0.2">
      <c r="B47">
        <v>3.9641120000000001</v>
      </c>
      <c r="C47">
        <v>11.824</v>
      </c>
      <c r="D47">
        <v>2.8582000000000001</v>
      </c>
      <c r="E47">
        <v>33</v>
      </c>
      <c r="F47">
        <f t="shared" si="0"/>
        <v>2.9641120000000001</v>
      </c>
      <c r="H47">
        <v>3.9557190000000002</v>
      </c>
      <c r="I47">
        <v>12.901999999999999</v>
      </c>
      <c r="J47">
        <v>2.9264999999999999</v>
      </c>
      <c r="K47">
        <v>33</v>
      </c>
      <c r="L47">
        <f t="shared" si="1"/>
        <v>2.9557190000000002</v>
      </c>
      <c r="N47">
        <v>3.9852609999999999</v>
      </c>
      <c r="O47">
        <v>24.52</v>
      </c>
      <c r="P47">
        <v>4.0685000000000002</v>
      </c>
      <c r="Q47">
        <f t="shared" si="3"/>
        <v>2.9852609999999999</v>
      </c>
      <c r="T47">
        <v>3.9736560000000001</v>
      </c>
      <c r="U47">
        <v>43.703000000000003</v>
      </c>
      <c r="V47">
        <v>5.2679</v>
      </c>
      <c r="W47">
        <v>33</v>
      </c>
      <c r="X47">
        <f t="shared" si="2"/>
        <v>2.9736560000000001</v>
      </c>
    </row>
    <row r="48" spans="2:24" x14ac:dyDescent="0.2">
      <c r="B48">
        <v>4.042052</v>
      </c>
      <c r="C48">
        <v>11.71</v>
      </c>
      <c r="D48">
        <v>2.9748000000000001</v>
      </c>
      <c r="E48">
        <v>33</v>
      </c>
      <c r="F48">
        <f t="shared" si="0"/>
        <v>3.042052</v>
      </c>
      <c r="H48">
        <v>4.0644150000000003</v>
      </c>
      <c r="I48">
        <v>12.891999999999999</v>
      </c>
      <c r="J48">
        <v>3.0463</v>
      </c>
      <c r="K48">
        <v>33</v>
      </c>
      <c r="L48">
        <f t="shared" si="1"/>
        <v>3.0644150000000003</v>
      </c>
      <c r="N48">
        <v>4.062576</v>
      </c>
      <c r="O48">
        <v>24.518000000000001</v>
      </c>
      <c r="P48">
        <v>4.0198999999999998</v>
      </c>
      <c r="Q48">
        <f t="shared" si="3"/>
        <v>3.062576</v>
      </c>
      <c r="T48">
        <v>4.0662430000000001</v>
      </c>
      <c r="U48">
        <v>43.820999999999998</v>
      </c>
      <c r="V48">
        <v>5.5644999999999998</v>
      </c>
      <c r="W48">
        <v>66</v>
      </c>
      <c r="X48">
        <f t="shared" si="2"/>
        <v>3.0662430000000001</v>
      </c>
    </row>
    <row r="49" spans="2:24" x14ac:dyDescent="0.2">
      <c r="B49">
        <v>4.1500620000000001</v>
      </c>
      <c r="C49">
        <v>11.724</v>
      </c>
      <c r="D49">
        <v>2.5438000000000001</v>
      </c>
      <c r="E49">
        <v>66</v>
      </c>
      <c r="F49">
        <f t="shared" si="0"/>
        <v>3.1500620000000001</v>
      </c>
      <c r="H49">
        <v>4.1422470000000002</v>
      </c>
      <c r="I49">
        <v>12.9</v>
      </c>
      <c r="J49">
        <v>3.1076000000000001</v>
      </c>
      <c r="K49">
        <v>66</v>
      </c>
      <c r="L49">
        <f t="shared" si="1"/>
        <v>3.1422470000000002</v>
      </c>
      <c r="N49">
        <v>4.1773730000000002</v>
      </c>
      <c r="O49">
        <v>24.443999999999999</v>
      </c>
      <c r="P49">
        <v>4.0868000000000002</v>
      </c>
      <c r="Q49">
        <f t="shared" si="3"/>
        <v>3.1773730000000002</v>
      </c>
      <c r="T49">
        <v>4.1579160000000002</v>
      </c>
      <c r="U49">
        <v>43.838000000000001</v>
      </c>
      <c r="V49">
        <v>5.3754999999999997</v>
      </c>
      <c r="W49">
        <v>66</v>
      </c>
      <c r="X49">
        <f t="shared" si="2"/>
        <v>3.1579160000000002</v>
      </c>
    </row>
    <row r="50" spans="2:24" x14ac:dyDescent="0.2">
      <c r="B50">
        <v>4.2364509999999997</v>
      </c>
      <c r="C50">
        <v>11.712999999999999</v>
      </c>
      <c r="D50">
        <v>2.016</v>
      </c>
      <c r="E50">
        <v>66</v>
      </c>
      <c r="F50">
        <f t="shared" si="0"/>
        <v>3.2364509999999997</v>
      </c>
      <c r="H50">
        <v>4.2055850000000001</v>
      </c>
      <c r="I50">
        <v>12.946999999999999</v>
      </c>
      <c r="J50">
        <v>2.9990000000000001</v>
      </c>
      <c r="K50">
        <v>66</v>
      </c>
      <c r="L50">
        <f t="shared" si="1"/>
        <v>3.2055850000000001</v>
      </c>
      <c r="N50">
        <v>4.2552269999999996</v>
      </c>
      <c r="O50">
        <v>24.806999999999999</v>
      </c>
      <c r="P50">
        <v>1.2181</v>
      </c>
      <c r="Q50">
        <f t="shared" si="3"/>
        <v>3.2552269999999996</v>
      </c>
      <c r="T50">
        <v>4.2244060000000001</v>
      </c>
      <c r="U50">
        <v>43.899000000000001</v>
      </c>
      <c r="V50">
        <v>1.2576000000000001</v>
      </c>
      <c r="W50">
        <v>66</v>
      </c>
      <c r="X50">
        <f t="shared" si="2"/>
        <v>3.2244060000000001</v>
      </c>
    </row>
    <row r="51" spans="2:24" x14ac:dyDescent="0.2">
      <c r="B51">
        <v>4.3435560000000004</v>
      </c>
      <c r="C51">
        <v>12.08</v>
      </c>
      <c r="D51">
        <v>0.90600000000000003</v>
      </c>
      <c r="E51">
        <v>66</v>
      </c>
      <c r="F51">
        <f t="shared" si="0"/>
        <v>3.3435560000000004</v>
      </c>
      <c r="H51">
        <v>4.32186</v>
      </c>
      <c r="I51">
        <v>13.16</v>
      </c>
      <c r="J51">
        <v>0.91539999999999999</v>
      </c>
      <c r="K51">
        <v>66</v>
      </c>
      <c r="L51">
        <f t="shared" si="1"/>
        <v>3.32186</v>
      </c>
      <c r="N51">
        <v>4.3160800000000004</v>
      </c>
      <c r="O51">
        <v>34.149000000000001</v>
      </c>
      <c r="P51">
        <v>1.8331</v>
      </c>
      <c r="Q51">
        <f t="shared" si="3"/>
        <v>3.3160800000000004</v>
      </c>
      <c r="T51">
        <v>4.3164879999999997</v>
      </c>
      <c r="U51">
        <v>49.38</v>
      </c>
      <c r="V51">
        <v>1.6355999999999999</v>
      </c>
      <c r="W51">
        <v>66</v>
      </c>
      <c r="X51">
        <f t="shared" si="2"/>
        <v>3.3164879999999997</v>
      </c>
    </row>
    <row r="52" spans="2:24" x14ac:dyDescent="0.2">
      <c r="B52">
        <v>4.4327949999999996</v>
      </c>
      <c r="C52">
        <v>19.178000000000001</v>
      </c>
      <c r="D52">
        <v>1.5615000000000001</v>
      </c>
      <c r="E52">
        <v>66</v>
      </c>
      <c r="F52">
        <f t="shared" si="0"/>
        <v>3.4327949999999996</v>
      </c>
      <c r="H52">
        <v>4.3997580000000003</v>
      </c>
      <c r="I52">
        <v>19.658000000000001</v>
      </c>
      <c r="J52">
        <v>1.575</v>
      </c>
      <c r="K52">
        <v>66</v>
      </c>
      <c r="L52">
        <f t="shared" si="1"/>
        <v>3.3997580000000003</v>
      </c>
      <c r="N52">
        <v>4.4392509999999996</v>
      </c>
      <c r="O52">
        <v>54.625</v>
      </c>
      <c r="P52">
        <v>3.0087000000000002</v>
      </c>
      <c r="Q52">
        <f t="shared" si="3"/>
        <v>3.4392509999999996</v>
      </c>
      <c r="T52">
        <v>4.41648</v>
      </c>
      <c r="U52">
        <v>74.825000000000003</v>
      </c>
      <c r="V52">
        <v>2.4944999999999999</v>
      </c>
      <c r="W52">
        <v>66</v>
      </c>
      <c r="X52">
        <f t="shared" si="2"/>
        <v>3.41648</v>
      </c>
    </row>
    <row r="53" spans="2:24" x14ac:dyDescent="0.2">
      <c r="B53">
        <v>4.4985879999999998</v>
      </c>
      <c r="C53">
        <v>31.869</v>
      </c>
      <c r="D53">
        <v>2.5348999999999999</v>
      </c>
      <c r="E53">
        <v>66</v>
      </c>
      <c r="F53">
        <f t="shared" si="0"/>
        <v>3.4985879999999998</v>
      </c>
      <c r="H53">
        <v>4.5143380000000004</v>
      </c>
      <c r="I53">
        <v>34.445</v>
      </c>
      <c r="J53">
        <v>2.6953</v>
      </c>
      <c r="K53">
        <v>66</v>
      </c>
      <c r="L53">
        <f t="shared" si="1"/>
        <v>3.5143380000000004</v>
      </c>
      <c r="N53">
        <v>4.5275040000000004</v>
      </c>
      <c r="O53">
        <v>62.817</v>
      </c>
      <c r="P53">
        <v>3.3014000000000001</v>
      </c>
      <c r="Q53">
        <f t="shared" si="3"/>
        <v>3.5275040000000004</v>
      </c>
      <c r="T53">
        <v>4.5242370000000003</v>
      </c>
      <c r="U53">
        <v>98.641999999999996</v>
      </c>
      <c r="V53">
        <v>3.4226999999999999</v>
      </c>
      <c r="W53">
        <v>66</v>
      </c>
      <c r="X53">
        <f t="shared" si="2"/>
        <v>3.5242370000000003</v>
      </c>
    </row>
    <row r="54" spans="2:24" x14ac:dyDescent="0.2">
      <c r="B54">
        <v>4.6166989999999997</v>
      </c>
      <c r="C54">
        <v>35.777999999999999</v>
      </c>
      <c r="D54">
        <v>2.7704</v>
      </c>
      <c r="E54">
        <v>66</v>
      </c>
      <c r="F54">
        <f t="shared" si="0"/>
        <v>3.6166989999999997</v>
      </c>
      <c r="H54">
        <v>4.6040859999999997</v>
      </c>
      <c r="I54">
        <v>40.579000000000001</v>
      </c>
      <c r="J54">
        <v>3.0836000000000001</v>
      </c>
      <c r="K54">
        <v>66</v>
      </c>
      <c r="L54">
        <f t="shared" si="1"/>
        <v>3.6040859999999997</v>
      </c>
      <c r="N54">
        <v>4.6363000000000003</v>
      </c>
      <c r="O54">
        <v>63.59</v>
      </c>
      <c r="P54">
        <v>3.3292999999999999</v>
      </c>
      <c r="Q54">
        <f t="shared" si="3"/>
        <v>3.6363000000000003</v>
      </c>
      <c r="T54">
        <v>4.6021390000000002</v>
      </c>
      <c r="U54">
        <v>106.877</v>
      </c>
      <c r="V54">
        <v>3.7261000000000002</v>
      </c>
      <c r="W54">
        <v>66</v>
      </c>
      <c r="X54">
        <f t="shared" si="2"/>
        <v>3.6021390000000002</v>
      </c>
    </row>
    <row r="55" spans="2:24" x14ac:dyDescent="0.2">
      <c r="B55">
        <v>4.7054020000000003</v>
      </c>
      <c r="C55">
        <v>36.090000000000003</v>
      </c>
      <c r="D55">
        <v>2.9986999999999999</v>
      </c>
      <c r="E55">
        <v>66</v>
      </c>
      <c r="F55">
        <f t="shared" si="0"/>
        <v>3.7054020000000003</v>
      </c>
      <c r="H55">
        <v>4.6706120000000002</v>
      </c>
      <c r="I55">
        <v>41.280999999999999</v>
      </c>
      <c r="J55">
        <v>3.2867999999999999</v>
      </c>
      <c r="K55">
        <v>66</v>
      </c>
      <c r="L55">
        <f t="shared" si="1"/>
        <v>3.6706120000000002</v>
      </c>
      <c r="N55">
        <v>4.7135220000000002</v>
      </c>
      <c r="O55">
        <v>63.41</v>
      </c>
      <c r="P55">
        <v>3.4710999999999999</v>
      </c>
      <c r="Q55">
        <f t="shared" si="3"/>
        <v>3.7135220000000002</v>
      </c>
      <c r="T55">
        <v>4.7069190000000001</v>
      </c>
      <c r="U55">
        <v>108.89700000000001</v>
      </c>
      <c r="V55">
        <v>3.6288</v>
      </c>
      <c r="W55">
        <v>66</v>
      </c>
      <c r="X55">
        <f t="shared" si="2"/>
        <v>3.7069190000000001</v>
      </c>
    </row>
    <row r="56" spans="2:24" x14ac:dyDescent="0.2">
      <c r="B56">
        <v>4.7683400000000002</v>
      </c>
      <c r="C56">
        <v>36.012</v>
      </c>
      <c r="D56">
        <v>2.9018999999999999</v>
      </c>
      <c r="E56">
        <v>66</v>
      </c>
      <c r="F56">
        <f t="shared" si="0"/>
        <v>3.7683400000000002</v>
      </c>
      <c r="H56">
        <v>4.7919299999999998</v>
      </c>
      <c r="I56">
        <v>41.372</v>
      </c>
      <c r="J56">
        <v>3.3346</v>
      </c>
      <c r="K56">
        <v>66</v>
      </c>
      <c r="L56">
        <f t="shared" si="1"/>
        <v>3.7919299999999998</v>
      </c>
      <c r="N56">
        <v>4.818181</v>
      </c>
      <c r="O56">
        <v>63.417000000000002</v>
      </c>
      <c r="P56">
        <v>3.5362</v>
      </c>
      <c r="Q56">
        <f t="shared" si="3"/>
        <v>3.818181</v>
      </c>
      <c r="T56">
        <v>4.7839700000000001</v>
      </c>
      <c r="U56">
        <v>109.495</v>
      </c>
      <c r="V56">
        <v>3.8195000000000001</v>
      </c>
      <c r="W56">
        <v>66</v>
      </c>
      <c r="X56">
        <f t="shared" si="2"/>
        <v>3.7839700000000001</v>
      </c>
    </row>
    <row r="57" spans="2:24" x14ac:dyDescent="0.2">
      <c r="B57">
        <v>4.8750859999999996</v>
      </c>
      <c r="C57">
        <v>36.069000000000003</v>
      </c>
      <c r="D57">
        <v>2.9169</v>
      </c>
      <c r="E57">
        <v>66</v>
      </c>
      <c r="F57">
        <f t="shared" si="0"/>
        <v>3.8750859999999996</v>
      </c>
      <c r="H57">
        <v>4.8705530000000001</v>
      </c>
      <c r="I57">
        <v>41.487000000000002</v>
      </c>
      <c r="J57">
        <v>3.3996</v>
      </c>
      <c r="K57">
        <v>66</v>
      </c>
      <c r="L57">
        <f t="shared" si="1"/>
        <v>3.8705530000000001</v>
      </c>
      <c r="N57">
        <v>4.8946649999999998</v>
      </c>
      <c r="O57">
        <v>63.401000000000003</v>
      </c>
      <c r="P57">
        <v>3.3235000000000001</v>
      </c>
      <c r="Q57">
        <f t="shared" si="3"/>
        <v>3.8946649999999998</v>
      </c>
      <c r="T57">
        <v>4.8919689999999996</v>
      </c>
      <c r="U57">
        <v>109.657</v>
      </c>
      <c r="V57">
        <v>3.7305999999999999</v>
      </c>
      <c r="W57">
        <v>66</v>
      </c>
      <c r="X57">
        <f t="shared" si="2"/>
        <v>3.8919689999999996</v>
      </c>
    </row>
    <row r="58" spans="2:24" x14ac:dyDescent="0.2">
      <c r="B58">
        <v>4.951708</v>
      </c>
      <c r="C58">
        <v>36.012</v>
      </c>
      <c r="D58">
        <v>2.8508</v>
      </c>
      <c r="E58">
        <v>66</v>
      </c>
      <c r="F58">
        <f t="shared" si="0"/>
        <v>3.951708</v>
      </c>
      <c r="H58">
        <v>4.9794939999999999</v>
      </c>
      <c r="I58">
        <v>41.353000000000002</v>
      </c>
      <c r="J58">
        <v>3.2288999999999999</v>
      </c>
      <c r="K58">
        <v>66</v>
      </c>
      <c r="L58">
        <f t="shared" si="1"/>
        <v>3.9794939999999999</v>
      </c>
      <c r="N58">
        <v>5.0002149999999999</v>
      </c>
      <c r="O58">
        <v>63.337000000000003</v>
      </c>
      <c r="P58">
        <v>3.4432</v>
      </c>
      <c r="Q58">
        <f t="shared" si="3"/>
        <v>4.0002149999999999</v>
      </c>
      <c r="T58">
        <v>4.9687049999999999</v>
      </c>
      <c r="U58">
        <v>109.583</v>
      </c>
      <c r="V58">
        <v>3.8401999999999998</v>
      </c>
      <c r="W58">
        <v>66</v>
      </c>
      <c r="X58">
        <f t="shared" si="2"/>
        <v>3.9687049999999999</v>
      </c>
    </row>
    <row r="59" spans="2:24" x14ac:dyDescent="0.2">
      <c r="B59">
        <v>5.05722</v>
      </c>
      <c r="C59">
        <v>35.896999999999998</v>
      </c>
      <c r="D59">
        <v>2.9262999999999999</v>
      </c>
      <c r="E59">
        <v>66</v>
      </c>
      <c r="F59">
        <f t="shared" si="0"/>
        <v>4.05722</v>
      </c>
      <c r="H59">
        <v>5.0578070000000004</v>
      </c>
      <c r="I59">
        <v>41.390999999999998</v>
      </c>
      <c r="J59">
        <v>3.3772000000000002</v>
      </c>
      <c r="K59">
        <v>66</v>
      </c>
      <c r="L59">
        <f t="shared" si="1"/>
        <v>4.0578070000000004</v>
      </c>
      <c r="N59">
        <v>5.0771980000000001</v>
      </c>
      <c r="O59">
        <v>63.320999999999998</v>
      </c>
      <c r="P59">
        <v>3.4676</v>
      </c>
      <c r="Q59">
        <f t="shared" si="3"/>
        <v>4.0771980000000001</v>
      </c>
      <c r="T59">
        <v>5.0743010000000002</v>
      </c>
      <c r="U59">
        <v>109.378</v>
      </c>
      <c r="V59">
        <v>3.8041999999999998</v>
      </c>
      <c r="W59">
        <v>66</v>
      </c>
      <c r="X59">
        <f t="shared" si="2"/>
        <v>4.0743010000000002</v>
      </c>
    </row>
    <row r="60" spans="2:24" x14ac:dyDescent="0.2">
      <c r="B60">
        <v>5.1339930000000003</v>
      </c>
      <c r="C60">
        <v>35.841999999999999</v>
      </c>
      <c r="D60">
        <v>2.9388999999999998</v>
      </c>
      <c r="E60">
        <v>66</v>
      </c>
      <c r="F60">
        <f t="shared" si="0"/>
        <v>4.1339930000000003</v>
      </c>
      <c r="H60">
        <v>5.1662949999999999</v>
      </c>
      <c r="I60">
        <v>41.523000000000003</v>
      </c>
      <c r="J60">
        <v>3.1892</v>
      </c>
      <c r="K60">
        <v>66</v>
      </c>
      <c r="L60">
        <f t="shared" si="1"/>
        <v>4.1662949999999999</v>
      </c>
      <c r="N60">
        <v>5.1832289999999999</v>
      </c>
      <c r="O60">
        <v>63.359000000000002</v>
      </c>
      <c r="P60">
        <v>3.5190000000000001</v>
      </c>
      <c r="Q60">
        <f t="shared" si="3"/>
        <v>4.1832289999999999</v>
      </c>
      <c r="T60">
        <v>5.1620980000000003</v>
      </c>
      <c r="U60">
        <v>109.114</v>
      </c>
      <c r="V60">
        <v>3.7968000000000002</v>
      </c>
      <c r="W60">
        <v>66</v>
      </c>
      <c r="X60">
        <f t="shared" si="2"/>
        <v>4.1620980000000003</v>
      </c>
    </row>
    <row r="61" spans="2:24" x14ac:dyDescent="0.2">
      <c r="B61">
        <v>5.2417020000000001</v>
      </c>
      <c r="C61">
        <v>36.024999999999999</v>
      </c>
      <c r="D61">
        <v>2.9946000000000002</v>
      </c>
      <c r="E61">
        <v>66</v>
      </c>
      <c r="F61">
        <f t="shared" si="0"/>
        <v>4.2417020000000001</v>
      </c>
      <c r="H61">
        <v>5.2441740000000001</v>
      </c>
      <c r="I61">
        <v>41.372</v>
      </c>
      <c r="J61">
        <v>3.2158000000000002</v>
      </c>
      <c r="K61">
        <v>66</v>
      </c>
      <c r="L61">
        <f t="shared" si="1"/>
        <v>4.2441740000000001</v>
      </c>
      <c r="N61">
        <v>5.2605599999999999</v>
      </c>
      <c r="O61">
        <v>63.314</v>
      </c>
      <c r="P61">
        <v>3.5823</v>
      </c>
      <c r="Q61">
        <f t="shared" si="3"/>
        <v>4.2605599999999999</v>
      </c>
      <c r="T61">
        <v>5.2508889999999999</v>
      </c>
      <c r="U61">
        <v>108.876</v>
      </c>
      <c r="V61">
        <v>3.7566000000000002</v>
      </c>
      <c r="W61">
        <v>66</v>
      </c>
      <c r="X61">
        <f t="shared" si="2"/>
        <v>4.2508889999999999</v>
      </c>
    </row>
    <row r="62" spans="2:24" x14ac:dyDescent="0.2">
      <c r="B62">
        <v>5.319178</v>
      </c>
      <c r="C62">
        <v>36.033999999999999</v>
      </c>
      <c r="D62">
        <v>2.9721000000000002</v>
      </c>
      <c r="E62">
        <v>66</v>
      </c>
      <c r="F62">
        <f t="shared" si="0"/>
        <v>4.319178</v>
      </c>
      <c r="H62">
        <v>5.3527360000000002</v>
      </c>
      <c r="I62">
        <v>41.213999999999999</v>
      </c>
      <c r="J62">
        <v>3.0731999999999999</v>
      </c>
      <c r="K62">
        <v>66</v>
      </c>
      <c r="L62">
        <f t="shared" si="1"/>
        <v>4.3527360000000002</v>
      </c>
      <c r="N62">
        <v>5.3651999999999997</v>
      </c>
      <c r="O62">
        <v>63.283999999999999</v>
      </c>
      <c r="P62">
        <v>3.5066999999999999</v>
      </c>
      <c r="Q62">
        <f t="shared" si="3"/>
        <v>4.3651999999999997</v>
      </c>
      <c r="T62">
        <v>5.3372510000000002</v>
      </c>
      <c r="U62">
        <v>108.782</v>
      </c>
      <c r="V62">
        <v>3.8029999999999999</v>
      </c>
      <c r="W62">
        <v>66</v>
      </c>
      <c r="X62">
        <f t="shared" si="2"/>
        <v>4.3372510000000002</v>
      </c>
    </row>
    <row r="63" spans="2:24" x14ac:dyDescent="0.2">
      <c r="B63">
        <v>5.4245190000000001</v>
      </c>
      <c r="C63">
        <v>35.918999999999997</v>
      </c>
      <c r="D63">
        <v>2.802</v>
      </c>
      <c r="E63">
        <v>66</v>
      </c>
      <c r="F63">
        <f t="shared" si="0"/>
        <v>4.4245190000000001</v>
      </c>
      <c r="H63">
        <v>5.430199</v>
      </c>
      <c r="I63">
        <v>41.05</v>
      </c>
      <c r="J63">
        <v>3.3214999999999999</v>
      </c>
      <c r="K63">
        <v>66</v>
      </c>
      <c r="L63">
        <f t="shared" si="1"/>
        <v>4.430199</v>
      </c>
      <c r="N63">
        <v>5.4418670000000002</v>
      </c>
      <c r="O63">
        <v>63.191000000000003</v>
      </c>
      <c r="P63">
        <v>3.3936000000000002</v>
      </c>
      <c r="Q63">
        <f t="shared" si="3"/>
        <v>4.4418670000000002</v>
      </c>
      <c r="T63">
        <v>5.4267789999999998</v>
      </c>
      <c r="U63">
        <v>108.541</v>
      </c>
      <c r="V63">
        <v>3.7890999999999999</v>
      </c>
      <c r="W63">
        <v>66</v>
      </c>
      <c r="X63">
        <f t="shared" si="2"/>
        <v>4.4267789999999998</v>
      </c>
    </row>
    <row r="64" spans="2:24" x14ac:dyDescent="0.2">
      <c r="B64">
        <v>5.5010640000000004</v>
      </c>
      <c r="C64">
        <v>35.966000000000001</v>
      </c>
      <c r="D64">
        <v>2.9091999999999998</v>
      </c>
      <c r="E64">
        <v>66</v>
      </c>
      <c r="F64">
        <f t="shared" si="0"/>
        <v>4.5010640000000004</v>
      </c>
      <c r="H64">
        <v>5.5379940000000003</v>
      </c>
      <c r="I64">
        <v>40.997</v>
      </c>
      <c r="J64">
        <v>3.3081</v>
      </c>
      <c r="K64">
        <v>66</v>
      </c>
      <c r="L64">
        <f t="shared" si="1"/>
        <v>4.5379940000000003</v>
      </c>
      <c r="N64">
        <v>5.5458809999999996</v>
      </c>
      <c r="O64">
        <v>63.198</v>
      </c>
      <c r="P64">
        <v>3.3395999999999999</v>
      </c>
      <c r="Q64">
        <f t="shared" si="3"/>
        <v>4.5458809999999996</v>
      </c>
      <c r="T64">
        <v>5.5136479999999999</v>
      </c>
      <c r="U64">
        <v>108.402</v>
      </c>
      <c r="V64">
        <v>3.6585000000000001</v>
      </c>
      <c r="W64">
        <v>66</v>
      </c>
      <c r="X64">
        <f t="shared" si="2"/>
        <v>4.5136479999999999</v>
      </c>
    </row>
    <row r="65" spans="2:24" x14ac:dyDescent="0.2">
      <c r="B65">
        <v>5.6084329999999998</v>
      </c>
      <c r="C65">
        <v>35.924999999999997</v>
      </c>
      <c r="D65">
        <v>2.9131999999999998</v>
      </c>
      <c r="E65">
        <v>66</v>
      </c>
      <c r="F65">
        <f t="shared" si="0"/>
        <v>4.6084329999999998</v>
      </c>
      <c r="H65">
        <v>5.6157149999999998</v>
      </c>
      <c r="I65">
        <v>41.14</v>
      </c>
      <c r="J65">
        <v>3.1829999999999998</v>
      </c>
      <c r="K65">
        <v>66</v>
      </c>
      <c r="L65">
        <f t="shared" si="1"/>
        <v>4.6157149999999998</v>
      </c>
      <c r="N65">
        <v>5.6219200000000003</v>
      </c>
      <c r="O65">
        <v>63.308</v>
      </c>
      <c r="P65">
        <v>3.4872999999999998</v>
      </c>
      <c r="Q65">
        <f t="shared" si="3"/>
        <v>4.6219200000000003</v>
      </c>
      <c r="T65">
        <v>5.6315350000000004</v>
      </c>
      <c r="U65">
        <v>108.46299999999999</v>
      </c>
      <c r="V65">
        <v>3.8121999999999998</v>
      </c>
      <c r="W65">
        <v>66</v>
      </c>
      <c r="X65">
        <f t="shared" si="2"/>
        <v>4.6315350000000004</v>
      </c>
    </row>
    <row r="66" spans="2:24" x14ac:dyDescent="0.2">
      <c r="B66">
        <v>5.6851289999999999</v>
      </c>
      <c r="C66">
        <v>35.938000000000002</v>
      </c>
      <c r="D66">
        <v>2.8321999999999998</v>
      </c>
      <c r="E66">
        <v>66</v>
      </c>
      <c r="F66">
        <f t="shared" si="0"/>
        <v>4.6851289999999999</v>
      </c>
      <c r="H66">
        <v>5.7238439999999997</v>
      </c>
      <c r="I66">
        <v>40.956000000000003</v>
      </c>
      <c r="J66">
        <v>3.3121</v>
      </c>
      <c r="K66">
        <v>66</v>
      </c>
      <c r="L66">
        <f t="shared" si="1"/>
        <v>4.7238439999999997</v>
      </c>
      <c r="N66">
        <v>5.7255880000000001</v>
      </c>
      <c r="O66">
        <v>63.456000000000003</v>
      </c>
      <c r="P66">
        <v>3.3035999999999999</v>
      </c>
      <c r="Q66">
        <f t="shared" si="3"/>
        <v>4.7255880000000001</v>
      </c>
      <c r="T66">
        <v>5.7208040000000002</v>
      </c>
      <c r="U66">
        <v>108.492</v>
      </c>
      <c r="V66">
        <v>3.7357999999999998</v>
      </c>
      <c r="W66">
        <v>66</v>
      </c>
      <c r="X66">
        <f t="shared" si="2"/>
        <v>4.7208040000000002</v>
      </c>
    </row>
    <row r="67" spans="2:24" x14ac:dyDescent="0.2">
      <c r="B67">
        <v>5.7911260000000002</v>
      </c>
      <c r="C67">
        <v>35.96</v>
      </c>
      <c r="D67">
        <v>2.9056000000000002</v>
      </c>
      <c r="E67">
        <v>66</v>
      </c>
      <c r="F67">
        <f t="shared" si="0"/>
        <v>4.7911260000000002</v>
      </c>
      <c r="H67">
        <v>5.8012170000000003</v>
      </c>
      <c r="I67">
        <v>40.920999999999999</v>
      </c>
      <c r="J67">
        <v>3.1932999999999998</v>
      </c>
      <c r="K67">
        <v>66</v>
      </c>
      <c r="L67">
        <f t="shared" si="1"/>
        <v>4.8012170000000003</v>
      </c>
      <c r="N67">
        <v>5.8021050000000001</v>
      </c>
      <c r="O67">
        <v>63.497999999999998</v>
      </c>
      <c r="P67">
        <v>3.5442999999999998</v>
      </c>
      <c r="Q67">
        <f t="shared" si="3"/>
        <v>4.8021050000000001</v>
      </c>
      <c r="T67">
        <v>5.8098960000000002</v>
      </c>
      <c r="U67">
        <v>108.491</v>
      </c>
      <c r="V67">
        <v>3.7014999999999998</v>
      </c>
      <c r="W67">
        <v>66</v>
      </c>
      <c r="X67">
        <f t="shared" si="2"/>
        <v>4.8098960000000002</v>
      </c>
    </row>
    <row r="68" spans="2:24" x14ac:dyDescent="0.2">
      <c r="B68">
        <v>5.8679990000000002</v>
      </c>
      <c r="C68">
        <v>35.912999999999997</v>
      </c>
      <c r="D68">
        <v>2.8774999999999999</v>
      </c>
      <c r="E68">
        <v>66</v>
      </c>
      <c r="F68">
        <f t="shared" si="0"/>
        <v>4.8679990000000002</v>
      </c>
      <c r="H68">
        <v>5.8638399999999997</v>
      </c>
      <c r="I68">
        <v>40.956000000000003</v>
      </c>
      <c r="J68">
        <v>3.2885</v>
      </c>
      <c r="K68">
        <v>66</v>
      </c>
      <c r="L68">
        <f t="shared" si="1"/>
        <v>4.8638399999999997</v>
      </c>
      <c r="N68">
        <v>5.9070460000000002</v>
      </c>
      <c r="O68">
        <v>63.445</v>
      </c>
      <c r="P68">
        <v>3.4990999999999999</v>
      </c>
      <c r="Q68">
        <f t="shared" si="3"/>
        <v>4.9070460000000002</v>
      </c>
      <c r="T68">
        <v>5.9003310000000004</v>
      </c>
      <c r="U68">
        <v>108.53400000000001</v>
      </c>
      <c r="V68">
        <v>3.8007</v>
      </c>
      <c r="W68">
        <v>66</v>
      </c>
      <c r="X68">
        <f t="shared" si="2"/>
        <v>4.9003310000000004</v>
      </c>
    </row>
    <row r="69" spans="2:24" x14ac:dyDescent="0.2">
      <c r="B69">
        <v>5.9731880000000004</v>
      </c>
      <c r="C69">
        <v>35.926000000000002</v>
      </c>
      <c r="D69">
        <v>3.0242</v>
      </c>
      <c r="E69">
        <v>66</v>
      </c>
      <c r="F69">
        <f t="shared" ref="F69:F114" si="4">B69-1</f>
        <v>4.9731880000000004</v>
      </c>
      <c r="H69">
        <v>5.9718970000000002</v>
      </c>
      <c r="I69">
        <v>41.006999999999998</v>
      </c>
      <c r="J69">
        <v>3.1897000000000002</v>
      </c>
      <c r="K69">
        <v>66</v>
      </c>
      <c r="L69">
        <f t="shared" ref="L69:L114" si="5">H69-1</f>
        <v>4.9718970000000002</v>
      </c>
      <c r="N69">
        <v>5.9845179999999996</v>
      </c>
      <c r="O69">
        <v>63.368000000000002</v>
      </c>
      <c r="P69">
        <v>3.5958999999999999</v>
      </c>
      <c r="Q69">
        <f t="shared" ref="Q69:Q114" si="6">N69-1</f>
        <v>4.9845179999999996</v>
      </c>
      <c r="T69">
        <v>5.9890119999999998</v>
      </c>
      <c r="U69">
        <v>108.57299999999999</v>
      </c>
      <c r="V69">
        <v>3.7313000000000001</v>
      </c>
      <c r="W69">
        <v>66</v>
      </c>
      <c r="X69">
        <f t="shared" ref="X69:X114" si="7">T69-1</f>
        <v>4.9890119999999998</v>
      </c>
    </row>
    <row r="70" spans="2:24" x14ac:dyDescent="0.2">
      <c r="B70">
        <v>6.0732499999999998</v>
      </c>
      <c r="C70">
        <v>35.905999999999999</v>
      </c>
      <c r="D70">
        <v>2.8908</v>
      </c>
      <c r="E70">
        <v>66</v>
      </c>
      <c r="F70">
        <f t="shared" si="4"/>
        <v>5.0732499999999998</v>
      </c>
      <c r="H70">
        <v>6.0491339999999996</v>
      </c>
      <c r="I70">
        <v>41.064999999999998</v>
      </c>
      <c r="J70">
        <v>3.2835000000000001</v>
      </c>
      <c r="K70">
        <v>66</v>
      </c>
      <c r="L70">
        <f t="shared" si="5"/>
        <v>5.0491339999999996</v>
      </c>
      <c r="N70">
        <v>6.0908379999999998</v>
      </c>
      <c r="O70">
        <v>63.332000000000001</v>
      </c>
      <c r="P70">
        <v>3.6379000000000001</v>
      </c>
      <c r="Q70">
        <f t="shared" si="6"/>
        <v>5.0908379999999998</v>
      </c>
      <c r="T70">
        <v>6.0786319999999998</v>
      </c>
      <c r="U70">
        <v>108.399</v>
      </c>
      <c r="V70">
        <v>3.8940000000000001</v>
      </c>
      <c r="W70">
        <v>66</v>
      </c>
      <c r="X70">
        <f t="shared" si="7"/>
        <v>5.0786319999999998</v>
      </c>
    </row>
    <row r="71" spans="2:24" x14ac:dyDescent="0.2">
      <c r="B71">
        <v>6.1789870000000002</v>
      </c>
      <c r="C71">
        <v>35.866</v>
      </c>
      <c r="D71">
        <v>2.948</v>
      </c>
      <c r="E71">
        <v>66</v>
      </c>
      <c r="F71">
        <f t="shared" si="4"/>
        <v>5.1789870000000002</v>
      </c>
      <c r="H71">
        <v>6.1588789999999998</v>
      </c>
      <c r="I71">
        <v>41.063000000000002</v>
      </c>
      <c r="J71">
        <v>3.3108</v>
      </c>
      <c r="K71">
        <v>66</v>
      </c>
      <c r="L71">
        <f t="shared" si="5"/>
        <v>5.1588789999999998</v>
      </c>
      <c r="N71">
        <v>6.1682899999999998</v>
      </c>
      <c r="O71">
        <v>63.345999999999997</v>
      </c>
      <c r="P71">
        <v>3.3889999999999998</v>
      </c>
      <c r="Q71">
        <f t="shared" si="6"/>
        <v>5.1682899999999998</v>
      </c>
      <c r="T71">
        <v>6.1672560000000001</v>
      </c>
      <c r="U71">
        <v>108.21899999999999</v>
      </c>
      <c r="V71">
        <v>3.8128000000000002</v>
      </c>
      <c r="W71">
        <v>66</v>
      </c>
      <c r="X71">
        <f t="shared" si="7"/>
        <v>5.1672560000000001</v>
      </c>
    </row>
    <row r="72" spans="2:24" x14ac:dyDescent="0.2">
      <c r="B72">
        <v>6.2563370000000003</v>
      </c>
      <c r="C72">
        <v>35.768000000000001</v>
      </c>
      <c r="D72">
        <v>2.9451999999999998</v>
      </c>
      <c r="E72">
        <v>66</v>
      </c>
      <c r="F72">
        <f t="shared" si="4"/>
        <v>5.2563370000000003</v>
      </c>
      <c r="H72">
        <v>6.2368490000000003</v>
      </c>
      <c r="I72">
        <v>41.118000000000002</v>
      </c>
      <c r="J72">
        <v>3.3254999999999999</v>
      </c>
      <c r="K72">
        <v>66</v>
      </c>
      <c r="L72">
        <f t="shared" si="5"/>
        <v>5.2368490000000003</v>
      </c>
      <c r="N72">
        <v>6.2725090000000003</v>
      </c>
      <c r="O72">
        <v>63.216000000000001</v>
      </c>
      <c r="P72">
        <v>3.3967000000000001</v>
      </c>
      <c r="Q72">
        <f t="shared" si="6"/>
        <v>5.2725090000000003</v>
      </c>
      <c r="T72">
        <v>6.257549</v>
      </c>
      <c r="U72">
        <v>108.07</v>
      </c>
      <c r="V72">
        <v>3.8157000000000001</v>
      </c>
      <c r="W72">
        <v>66</v>
      </c>
      <c r="X72">
        <f t="shared" si="7"/>
        <v>5.257549</v>
      </c>
    </row>
    <row r="73" spans="2:24" x14ac:dyDescent="0.2">
      <c r="B73">
        <v>6.3616609999999998</v>
      </c>
      <c r="C73">
        <v>35.911999999999999</v>
      </c>
      <c r="D73">
        <v>2.8546999999999998</v>
      </c>
      <c r="E73">
        <v>66</v>
      </c>
      <c r="F73">
        <f t="shared" si="4"/>
        <v>5.3616609999999998</v>
      </c>
      <c r="H73">
        <v>6.3456049999999999</v>
      </c>
      <c r="I73">
        <v>41.149000000000001</v>
      </c>
      <c r="J73">
        <v>3.3005</v>
      </c>
      <c r="K73">
        <v>66</v>
      </c>
      <c r="L73">
        <f t="shared" si="5"/>
        <v>5.3456049999999999</v>
      </c>
      <c r="N73">
        <v>6.3489820000000003</v>
      </c>
      <c r="O73">
        <v>63.301000000000002</v>
      </c>
      <c r="P73">
        <v>3.3574000000000002</v>
      </c>
      <c r="Q73">
        <f t="shared" si="6"/>
        <v>5.3489820000000003</v>
      </c>
      <c r="T73">
        <v>6.3467130000000003</v>
      </c>
      <c r="U73">
        <v>107.92</v>
      </c>
      <c r="V73">
        <v>3.7502</v>
      </c>
      <c r="W73">
        <v>66</v>
      </c>
      <c r="X73">
        <f t="shared" si="7"/>
        <v>5.3467130000000003</v>
      </c>
    </row>
    <row r="74" spans="2:24" x14ac:dyDescent="0.2">
      <c r="B74">
        <v>6.438466</v>
      </c>
      <c r="C74">
        <v>35.798999999999999</v>
      </c>
      <c r="D74">
        <v>3.0790000000000002</v>
      </c>
      <c r="E74">
        <v>66</v>
      </c>
      <c r="F74">
        <f t="shared" si="4"/>
        <v>5.438466</v>
      </c>
      <c r="H74">
        <v>6.4238799999999996</v>
      </c>
      <c r="I74">
        <v>41.11</v>
      </c>
      <c r="J74">
        <v>3.2822</v>
      </c>
      <c r="K74">
        <v>66</v>
      </c>
      <c r="L74">
        <f t="shared" si="5"/>
        <v>5.4238799999999996</v>
      </c>
      <c r="N74">
        <v>6.4542130000000002</v>
      </c>
      <c r="O74">
        <v>63.259</v>
      </c>
      <c r="P74">
        <v>3.5268000000000002</v>
      </c>
      <c r="Q74">
        <f t="shared" si="6"/>
        <v>5.4542130000000002</v>
      </c>
      <c r="T74">
        <v>6.4378229999999999</v>
      </c>
      <c r="U74">
        <v>107.971</v>
      </c>
      <c r="V74">
        <v>3.6869000000000001</v>
      </c>
      <c r="W74">
        <v>66</v>
      </c>
      <c r="X74">
        <f t="shared" si="7"/>
        <v>5.4378229999999999</v>
      </c>
    </row>
    <row r="75" spans="2:24" x14ac:dyDescent="0.2">
      <c r="B75">
        <v>6.544003</v>
      </c>
      <c r="C75">
        <v>35.718000000000004</v>
      </c>
      <c r="D75">
        <v>2.9144999999999999</v>
      </c>
      <c r="E75">
        <v>66</v>
      </c>
      <c r="F75">
        <f t="shared" si="4"/>
        <v>5.544003</v>
      </c>
      <c r="H75">
        <v>6.5142980000000001</v>
      </c>
      <c r="I75">
        <v>41.152000000000001</v>
      </c>
      <c r="J75">
        <v>3.4159000000000002</v>
      </c>
      <c r="K75">
        <v>66</v>
      </c>
      <c r="L75">
        <f t="shared" si="5"/>
        <v>5.5142980000000001</v>
      </c>
      <c r="N75">
        <v>6.5308320000000002</v>
      </c>
      <c r="O75">
        <v>63.218000000000004</v>
      </c>
      <c r="P75">
        <v>3.4157999999999999</v>
      </c>
      <c r="Q75">
        <f t="shared" si="6"/>
        <v>5.5308320000000002</v>
      </c>
      <c r="T75">
        <v>6.5263989999999996</v>
      </c>
      <c r="U75">
        <v>108.02200000000001</v>
      </c>
      <c r="V75">
        <v>3.746</v>
      </c>
      <c r="W75">
        <v>66</v>
      </c>
      <c r="X75">
        <f t="shared" si="7"/>
        <v>5.5263989999999996</v>
      </c>
    </row>
    <row r="76" spans="2:24" x14ac:dyDescent="0.2">
      <c r="B76">
        <v>6.6209100000000003</v>
      </c>
      <c r="C76">
        <v>35.776000000000003</v>
      </c>
      <c r="D76">
        <v>2.7890000000000001</v>
      </c>
      <c r="E76">
        <v>66</v>
      </c>
      <c r="F76">
        <f t="shared" si="4"/>
        <v>5.6209100000000003</v>
      </c>
      <c r="H76">
        <v>6.6167769999999999</v>
      </c>
      <c r="I76">
        <v>41.213999999999999</v>
      </c>
      <c r="J76">
        <v>3.3056000000000001</v>
      </c>
      <c r="K76">
        <v>66</v>
      </c>
      <c r="L76">
        <f t="shared" si="5"/>
        <v>5.6167769999999999</v>
      </c>
      <c r="N76">
        <v>6.6345999999999998</v>
      </c>
      <c r="O76">
        <v>63.359000000000002</v>
      </c>
      <c r="P76">
        <v>3.4657</v>
      </c>
      <c r="Q76">
        <f t="shared" si="6"/>
        <v>5.6345999999999998</v>
      </c>
      <c r="T76">
        <v>6.6179779999999999</v>
      </c>
      <c r="U76">
        <v>107.94799999999999</v>
      </c>
      <c r="V76">
        <v>3.8193000000000001</v>
      </c>
      <c r="W76">
        <v>66</v>
      </c>
      <c r="X76">
        <f t="shared" si="7"/>
        <v>5.6179779999999999</v>
      </c>
    </row>
    <row r="77" spans="2:24" x14ac:dyDescent="0.2">
      <c r="B77">
        <v>6.7260429999999998</v>
      </c>
      <c r="C77">
        <v>35.703000000000003</v>
      </c>
      <c r="D77">
        <v>2.9925999999999999</v>
      </c>
      <c r="E77">
        <v>66</v>
      </c>
      <c r="F77">
        <f t="shared" si="4"/>
        <v>5.7260429999999998</v>
      </c>
      <c r="H77">
        <v>6.7260530000000003</v>
      </c>
      <c r="I77">
        <v>41.21</v>
      </c>
      <c r="J77">
        <v>3.3353999999999999</v>
      </c>
      <c r="K77">
        <v>66</v>
      </c>
      <c r="L77">
        <f t="shared" si="5"/>
        <v>5.7260530000000003</v>
      </c>
      <c r="N77">
        <v>6.7110599999999998</v>
      </c>
      <c r="O77">
        <v>63.218000000000004</v>
      </c>
      <c r="P77">
        <v>3.3395999999999999</v>
      </c>
      <c r="Q77">
        <f t="shared" si="6"/>
        <v>5.7110599999999998</v>
      </c>
      <c r="T77">
        <v>6.7377880000000001</v>
      </c>
      <c r="U77">
        <v>107.83799999999999</v>
      </c>
      <c r="V77">
        <v>3.7383999999999999</v>
      </c>
      <c r="W77">
        <v>66</v>
      </c>
      <c r="X77">
        <f t="shared" si="7"/>
        <v>5.7377880000000001</v>
      </c>
    </row>
    <row r="78" spans="2:24" x14ac:dyDescent="0.2">
      <c r="B78">
        <v>6.8025599999999997</v>
      </c>
      <c r="C78">
        <v>35.634999999999998</v>
      </c>
      <c r="D78">
        <v>3.0055000000000001</v>
      </c>
      <c r="E78">
        <v>66</v>
      </c>
      <c r="F78">
        <f t="shared" si="4"/>
        <v>5.8025599999999997</v>
      </c>
      <c r="H78">
        <v>6.8036430000000001</v>
      </c>
      <c r="I78">
        <v>41.042999999999999</v>
      </c>
      <c r="J78">
        <v>3.2395</v>
      </c>
      <c r="K78">
        <v>66</v>
      </c>
      <c r="L78">
        <f t="shared" si="5"/>
        <v>5.8036430000000001</v>
      </c>
      <c r="N78">
        <v>6.8164429999999996</v>
      </c>
      <c r="O78">
        <v>63.094000000000001</v>
      </c>
      <c r="P78">
        <v>3.3201000000000001</v>
      </c>
      <c r="Q78">
        <f t="shared" si="6"/>
        <v>5.8164429999999996</v>
      </c>
      <c r="T78">
        <v>6.828964</v>
      </c>
      <c r="U78">
        <v>107.742</v>
      </c>
      <c r="V78">
        <v>3.8046000000000002</v>
      </c>
      <c r="W78">
        <v>66</v>
      </c>
      <c r="X78">
        <f t="shared" si="7"/>
        <v>5.828964</v>
      </c>
    </row>
    <row r="79" spans="2:24" x14ac:dyDescent="0.2">
      <c r="B79">
        <v>6.9080300000000001</v>
      </c>
      <c r="C79">
        <v>35.667000000000002</v>
      </c>
      <c r="D79">
        <v>2.9864999999999999</v>
      </c>
      <c r="E79">
        <v>66</v>
      </c>
      <c r="F79">
        <f t="shared" si="4"/>
        <v>5.9080300000000001</v>
      </c>
      <c r="H79">
        <v>6.9118300000000001</v>
      </c>
      <c r="I79">
        <v>41.097999999999999</v>
      </c>
      <c r="J79">
        <v>3.3161</v>
      </c>
      <c r="K79">
        <v>66</v>
      </c>
      <c r="L79">
        <f t="shared" si="5"/>
        <v>5.9118300000000001</v>
      </c>
      <c r="N79">
        <v>6.9165970000000003</v>
      </c>
      <c r="O79">
        <v>62.95</v>
      </c>
      <c r="P79">
        <v>3.4310999999999998</v>
      </c>
      <c r="Q79">
        <f t="shared" si="6"/>
        <v>5.9165970000000003</v>
      </c>
      <c r="T79">
        <v>6.9193709999999999</v>
      </c>
      <c r="U79">
        <v>107.82</v>
      </c>
      <c r="V79">
        <v>3.7473000000000001</v>
      </c>
      <c r="W79">
        <v>66</v>
      </c>
      <c r="X79">
        <f t="shared" si="7"/>
        <v>5.9193709999999999</v>
      </c>
    </row>
    <row r="80" spans="2:24" x14ac:dyDescent="0.2">
      <c r="B80">
        <v>6.984375</v>
      </c>
      <c r="C80">
        <v>35.820999999999998</v>
      </c>
      <c r="D80">
        <v>2.8649</v>
      </c>
      <c r="E80">
        <v>66</v>
      </c>
      <c r="F80">
        <f t="shared" si="4"/>
        <v>5.984375</v>
      </c>
      <c r="H80">
        <v>6.9898689999999997</v>
      </c>
      <c r="I80">
        <v>41.075000000000003</v>
      </c>
      <c r="J80">
        <v>3.2320000000000002</v>
      </c>
      <c r="K80">
        <v>66</v>
      </c>
      <c r="L80">
        <f t="shared" si="5"/>
        <v>5.9898689999999997</v>
      </c>
      <c r="N80">
        <v>7.021935</v>
      </c>
      <c r="O80">
        <v>62.866999999999997</v>
      </c>
      <c r="P80">
        <v>3.3898999999999999</v>
      </c>
      <c r="Q80">
        <f t="shared" si="6"/>
        <v>6.021935</v>
      </c>
      <c r="T80">
        <v>7.0136060000000002</v>
      </c>
      <c r="U80">
        <v>107.78700000000001</v>
      </c>
      <c r="V80">
        <v>3.8346</v>
      </c>
      <c r="W80">
        <v>66</v>
      </c>
      <c r="X80">
        <f t="shared" si="7"/>
        <v>6.0136060000000002</v>
      </c>
    </row>
    <row r="81" spans="2:24" x14ac:dyDescent="0.2">
      <c r="B81">
        <v>7.0907830000000001</v>
      </c>
      <c r="C81">
        <v>35.792999999999999</v>
      </c>
      <c r="D81">
        <v>2.9487999999999999</v>
      </c>
      <c r="E81">
        <v>66</v>
      </c>
      <c r="F81">
        <f t="shared" si="4"/>
        <v>6.0907830000000001</v>
      </c>
      <c r="H81">
        <v>7.0994650000000004</v>
      </c>
      <c r="I81">
        <v>41.043999999999997</v>
      </c>
      <c r="J81">
        <v>3.4266000000000001</v>
      </c>
      <c r="K81">
        <v>66</v>
      </c>
      <c r="L81">
        <f t="shared" si="5"/>
        <v>6.0994650000000004</v>
      </c>
      <c r="N81">
        <v>7.099672</v>
      </c>
      <c r="O81">
        <v>62.947000000000003</v>
      </c>
      <c r="P81">
        <v>3.5430000000000001</v>
      </c>
      <c r="Q81">
        <f t="shared" si="6"/>
        <v>6.099672</v>
      </c>
      <c r="T81">
        <v>7.1016940000000002</v>
      </c>
      <c r="U81">
        <v>107.614</v>
      </c>
      <c r="V81">
        <v>3.8879999999999999</v>
      </c>
      <c r="W81">
        <v>100</v>
      </c>
      <c r="X81">
        <f t="shared" si="7"/>
        <v>6.1016940000000002</v>
      </c>
    </row>
    <row r="82" spans="2:24" x14ac:dyDescent="0.2">
      <c r="B82">
        <v>7.1689910000000001</v>
      </c>
      <c r="C82">
        <v>35.880000000000003</v>
      </c>
      <c r="D82">
        <v>2.8477000000000001</v>
      </c>
      <c r="E82">
        <v>100</v>
      </c>
      <c r="F82">
        <f t="shared" si="4"/>
        <v>6.1689910000000001</v>
      </c>
      <c r="H82">
        <v>7.1781680000000003</v>
      </c>
      <c r="I82">
        <v>41.146999999999998</v>
      </c>
      <c r="J82">
        <v>3.2818000000000001</v>
      </c>
      <c r="K82">
        <v>100</v>
      </c>
      <c r="L82">
        <f t="shared" si="5"/>
        <v>6.1781680000000003</v>
      </c>
      <c r="N82">
        <v>7.2121709999999997</v>
      </c>
      <c r="O82">
        <v>62.84</v>
      </c>
      <c r="P82">
        <v>3.4573999999999998</v>
      </c>
      <c r="Q82">
        <f t="shared" si="6"/>
        <v>6.2121709999999997</v>
      </c>
      <c r="T82">
        <v>7.1926459999999999</v>
      </c>
      <c r="U82">
        <v>107.55800000000001</v>
      </c>
      <c r="V82">
        <v>3.6387</v>
      </c>
      <c r="W82">
        <v>100</v>
      </c>
      <c r="X82">
        <f t="shared" si="7"/>
        <v>6.1926459999999999</v>
      </c>
    </row>
    <row r="83" spans="2:24" x14ac:dyDescent="0.2">
      <c r="B83">
        <v>7.2861750000000001</v>
      </c>
      <c r="C83">
        <v>35.835000000000001</v>
      </c>
      <c r="D83">
        <v>1.1554</v>
      </c>
      <c r="E83">
        <v>100</v>
      </c>
      <c r="F83">
        <f t="shared" si="4"/>
        <v>6.2861750000000001</v>
      </c>
      <c r="H83">
        <v>7.2937279999999998</v>
      </c>
      <c r="I83">
        <v>41.121000000000002</v>
      </c>
      <c r="J83">
        <v>3.4028</v>
      </c>
      <c r="K83">
        <v>100</v>
      </c>
      <c r="L83">
        <f t="shared" si="5"/>
        <v>6.2937279999999998</v>
      </c>
      <c r="N83">
        <v>7.2892479999999997</v>
      </c>
      <c r="O83">
        <v>63.124000000000002</v>
      </c>
      <c r="P83">
        <v>1.4570000000000001</v>
      </c>
      <c r="Q83">
        <f t="shared" si="6"/>
        <v>6.2892479999999997</v>
      </c>
      <c r="T83">
        <v>7.2901439999999997</v>
      </c>
      <c r="U83">
        <v>107.788</v>
      </c>
      <c r="V83">
        <v>1.5948</v>
      </c>
      <c r="W83">
        <v>100</v>
      </c>
      <c r="X83">
        <f t="shared" si="7"/>
        <v>6.2901439999999997</v>
      </c>
    </row>
    <row r="84" spans="2:24" x14ac:dyDescent="0.2">
      <c r="B84">
        <v>7.3643729999999996</v>
      </c>
      <c r="C84">
        <v>36.411000000000001</v>
      </c>
      <c r="D84">
        <v>1.3522000000000001</v>
      </c>
      <c r="E84">
        <v>100</v>
      </c>
      <c r="F84">
        <f t="shared" si="4"/>
        <v>6.3643729999999996</v>
      </c>
      <c r="H84">
        <v>7.3711070000000003</v>
      </c>
      <c r="I84">
        <v>41.433</v>
      </c>
      <c r="J84">
        <v>1.4237</v>
      </c>
      <c r="K84">
        <v>100</v>
      </c>
      <c r="L84">
        <f t="shared" si="5"/>
        <v>6.3711070000000003</v>
      </c>
      <c r="N84">
        <v>7.3940270000000003</v>
      </c>
      <c r="O84">
        <v>76.798000000000002</v>
      </c>
      <c r="P84">
        <v>1.8523000000000001</v>
      </c>
      <c r="Q84">
        <f t="shared" si="6"/>
        <v>6.3940270000000003</v>
      </c>
      <c r="T84">
        <v>7.3783209999999997</v>
      </c>
      <c r="U84">
        <v>114.578</v>
      </c>
      <c r="V84">
        <v>1.7816000000000001</v>
      </c>
      <c r="W84">
        <v>100</v>
      </c>
      <c r="X84">
        <f t="shared" si="7"/>
        <v>6.3783209999999997</v>
      </c>
    </row>
    <row r="85" spans="2:24" x14ac:dyDescent="0.2">
      <c r="B85">
        <v>7.4410600000000002</v>
      </c>
      <c r="C85">
        <v>46.689</v>
      </c>
      <c r="D85">
        <v>1.7867999999999999</v>
      </c>
      <c r="E85">
        <v>100</v>
      </c>
      <c r="F85">
        <f t="shared" si="4"/>
        <v>6.4410600000000002</v>
      </c>
      <c r="H85">
        <v>7.4335750000000003</v>
      </c>
      <c r="I85">
        <v>51.286000000000001</v>
      </c>
      <c r="J85">
        <v>1.9072</v>
      </c>
      <c r="K85">
        <v>100</v>
      </c>
      <c r="L85">
        <f t="shared" si="5"/>
        <v>6.4335750000000003</v>
      </c>
      <c r="N85">
        <v>7.4853639999999997</v>
      </c>
      <c r="O85">
        <v>106.506</v>
      </c>
      <c r="P85">
        <v>2.4975999999999998</v>
      </c>
      <c r="Q85">
        <f t="shared" si="6"/>
        <v>6.4853639999999997</v>
      </c>
      <c r="T85">
        <v>7.4659219999999999</v>
      </c>
      <c r="U85">
        <v>144.405</v>
      </c>
      <c r="V85">
        <v>2.2799999999999998</v>
      </c>
      <c r="W85">
        <v>100</v>
      </c>
      <c r="X85">
        <f t="shared" si="7"/>
        <v>6.4659219999999999</v>
      </c>
    </row>
    <row r="86" spans="2:24" x14ac:dyDescent="0.2">
      <c r="B86">
        <v>7.5488049999999998</v>
      </c>
      <c r="C86">
        <v>63.956000000000003</v>
      </c>
      <c r="D86">
        <v>2.4592999999999998</v>
      </c>
      <c r="E86">
        <v>100</v>
      </c>
      <c r="F86">
        <f t="shared" si="4"/>
        <v>6.5488049999999998</v>
      </c>
      <c r="H86">
        <v>7.5579559999999999</v>
      </c>
      <c r="I86">
        <v>71.957999999999998</v>
      </c>
      <c r="J86">
        <v>2.6080999999999999</v>
      </c>
      <c r="K86">
        <v>100</v>
      </c>
      <c r="L86">
        <f t="shared" si="5"/>
        <v>6.5579559999999999</v>
      </c>
      <c r="N86">
        <v>7.548902</v>
      </c>
      <c r="O86">
        <v>117.583</v>
      </c>
      <c r="P86">
        <v>2.7637999999999998</v>
      </c>
      <c r="Q86">
        <f t="shared" si="6"/>
        <v>6.548902</v>
      </c>
      <c r="T86">
        <v>7.5417529999999999</v>
      </c>
      <c r="U86">
        <v>169.26900000000001</v>
      </c>
      <c r="V86">
        <v>2.7079</v>
      </c>
      <c r="W86">
        <v>100</v>
      </c>
      <c r="X86">
        <f t="shared" si="7"/>
        <v>6.5417529999999999</v>
      </c>
    </row>
    <row r="87" spans="2:24" x14ac:dyDescent="0.2">
      <c r="B87">
        <v>7.6386139999999996</v>
      </c>
      <c r="C87">
        <v>68.370999999999995</v>
      </c>
      <c r="D87">
        <v>2.5922999999999998</v>
      </c>
      <c r="E87">
        <v>100</v>
      </c>
      <c r="F87">
        <f t="shared" si="4"/>
        <v>6.6386139999999996</v>
      </c>
      <c r="H87">
        <v>7.6370009999999997</v>
      </c>
      <c r="I87">
        <v>78.744</v>
      </c>
      <c r="J87">
        <v>2.9119999999999999</v>
      </c>
      <c r="K87">
        <v>100</v>
      </c>
      <c r="L87">
        <f t="shared" si="5"/>
        <v>6.6370009999999997</v>
      </c>
      <c r="N87">
        <v>7.6662730000000003</v>
      </c>
      <c r="O87">
        <v>118.432</v>
      </c>
      <c r="P87">
        <v>2.8081</v>
      </c>
      <c r="Q87">
        <f t="shared" si="6"/>
        <v>6.6662730000000003</v>
      </c>
      <c r="T87">
        <v>7.6475160000000004</v>
      </c>
      <c r="U87">
        <v>176.60300000000001</v>
      </c>
      <c r="V87">
        <v>2.7778999999999998</v>
      </c>
      <c r="W87">
        <v>100</v>
      </c>
      <c r="X87">
        <f t="shared" si="7"/>
        <v>6.6475160000000004</v>
      </c>
    </row>
    <row r="88" spans="2:24" x14ac:dyDescent="0.2">
      <c r="B88">
        <v>7.7460760000000004</v>
      </c>
      <c r="C88">
        <v>68.5</v>
      </c>
      <c r="D88">
        <v>2.5396999999999998</v>
      </c>
      <c r="E88">
        <v>100</v>
      </c>
      <c r="F88">
        <f t="shared" si="4"/>
        <v>6.7460760000000004</v>
      </c>
      <c r="H88">
        <v>7.744802</v>
      </c>
      <c r="I88">
        <v>79.454999999999998</v>
      </c>
      <c r="J88">
        <v>3.0272999999999999</v>
      </c>
      <c r="K88">
        <v>100</v>
      </c>
      <c r="L88">
        <f t="shared" si="5"/>
        <v>6.744802</v>
      </c>
      <c r="N88">
        <v>7.7434859999999999</v>
      </c>
      <c r="O88">
        <v>118.155</v>
      </c>
      <c r="P88">
        <v>2.8605</v>
      </c>
      <c r="Q88">
        <f t="shared" si="6"/>
        <v>6.7434859999999999</v>
      </c>
      <c r="T88">
        <v>7.751239</v>
      </c>
      <c r="U88">
        <v>178.203</v>
      </c>
      <c r="V88">
        <v>2.8834</v>
      </c>
      <c r="W88">
        <v>100</v>
      </c>
      <c r="X88">
        <f t="shared" si="7"/>
        <v>6.751239</v>
      </c>
    </row>
    <row r="89" spans="2:24" x14ac:dyDescent="0.2">
      <c r="B89">
        <v>7.8238519999999996</v>
      </c>
      <c r="C89">
        <v>68.48</v>
      </c>
      <c r="D89">
        <v>2.5655999999999999</v>
      </c>
      <c r="E89">
        <v>100</v>
      </c>
      <c r="F89">
        <f t="shared" si="4"/>
        <v>6.8238519999999996</v>
      </c>
      <c r="H89">
        <v>7.8227130000000002</v>
      </c>
      <c r="I89">
        <v>79.343999999999994</v>
      </c>
      <c r="J89">
        <v>2.9598</v>
      </c>
      <c r="K89">
        <v>100</v>
      </c>
      <c r="L89">
        <f t="shared" si="5"/>
        <v>6.8227130000000002</v>
      </c>
      <c r="N89">
        <v>7.8478440000000003</v>
      </c>
      <c r="O89">
        <v>118.012</v>
      </c>
      <c r="P89">
        <v>2.8268</v>
      </c>
      <c r="Q89">
        <f t="shared" si="6"/>
        <v>6.8478440000000003</v>
      </c>
      <c r="T89">
        <v>7.8300869999999998</v>
      </c>
      <c r="U89">
        <v>178.28399999999999</v>
      </c>
      <c r="V89">
        <v>2.8637999999999999</v>
      </c>
      <c r="W89">
        <v>100</v>
      </c>
      <c r="X89">
        <f t="shared" si="7"/>
        <v>6.8300869999999998</v>
      </c>
    </row>
    <row r="90" spans="2:24" x14ac:dyDescent="0.2">
      <c r="B90">
        <v>7.932436</v>
      </c>
      <c r="C90">
        <v>68.179000000000002</v>
      </c>
      <c r="D90">
        <v>2.5834000000000001</v>
      </c>
      <c r="E90">
        <v>100</v>
      </c>
      <c r="F90">
        <f t="shared" si="4"/>
        <v>6.932436</v>
      </c>
      <c r="H90">
        <v>7.914428</v>
      </c>
      <c r="I90">
        <v>79.251000000000005</v>
      </c>
      <c r="J90">
        <v>2.9483999999999999</v>
      </c>
      <c r="K90">
        <v>100</v>
      </c>
      <c r="L90">
        <f t="shared" si="5"/>
        <v>6.914428</v>
      </c>
      <c r="N90">
        <v>7.9238390000000001</v>
      </c>
      <c r="O90">
        <v>117.586</v>
      </c>
      <c r="P90">
        <v>2.7900999999999998</v>
      </c>
      <c r="Q90">
        <f t="shared" si="6"/>
        <v>6.9238390000000001</v>
      </c>
      <c r="T90">
        <v>7.9245099999999997</v>
      </c>
      <c r="U90">
        <v>177.85499999999999</v>
      </c>
      <c r="V90">
        <v>2.8462999999999998</v>
      </c>
      <c r="W90">
        <v>100</v>
      </c>
      <c r="X90">
        <f t="shared" si="7"/>
        <v>6.9245099999999997</v>
      </c>
    </row>
    <row r="91" spans="2:24" x14ac:dyDescent="0.2">
      <c r="B91">
        <v>8.0101990000000001</v>
      </c>
      <c r="C91">
        <v>68.224000000000004</v>
      </c>
      <c r="D91">
        <v>2.5579999999999998</v>
      </c>
      <c r="E91">
        <v>100</v>
      </c>
      <c r="F91">
        <f t="shared" si="4"/>
        <v>7.0101990000000001</v>
      </c>
      <c r="H91">
        <v>8.0040200000000006</v>
      </c>
      <c r="I91">
        <v>79.394000000000005</v>
      </c>
      <c r="J91">
        <v>2.9567999999999999</v>
      </c>
      <c r="K91">
        <v>100</v>
      </c>
      <c r="L91">
        <f t="shared" si="5"/>
        <v>7.0040200000000006</v>
      </c>
      <c r="N91">
        <v>8.0106219999999997</v>
      </c>
      <c r="O91">
        <v>117.175</v>
      </c>
      <c r="P91">
        <v>2.8361000000000001</v>
      </c>
      <c r="Q91">
        <f t="shared" si="6"/>
        <v>7.0106219999999997</v>
      </c>
      <c r="T91">
        <v>8.0005939999999995</v>
      </c>
      <c r="U91">
        <v>177.32300000000001</v>
      </c>
      <c r="V91">
        <v>2.871</v>
      </c>
      <c r="W91">
        <v>100</v>
      </c>
      <c r="X91">
        <f t="shared" si="7"/>
        <v>7.0005939999999995</v>
      </c>
    </row>
    <row r="92" spans="2:24" x14ac:dyDescent="0.2">
      <c r="B92">
        <v>8.1161239999999992</v>
      </c>
      <c r="C92">
        <v>68.262</v>
      </c>
      <c r="D92">
        <v>2.5684999999999998</v>
      </c>
      <c r="E92">
        <v>100</v>
      </c>
      <c r="F92">
        <f t="shared" si="4"/>
        <v>7.1161239999999992</v>
      </c>
      <c r="H92">
        <v>8.115202</v>
      </c>
      <c r="I92">
        <v>79.299000000000007</v>
      </c>
      <c r="J92">
        <v>2.9401000000000002</v>
      </c>
      <c r="K92">
        <v>100</v>
      </c>
      <c r="L92">
        <f t="shared" si="5"/>
        <v>7.115202</v>
      </c>
      <c r="N92">
        <v>8.1112870000000008</v>
      </c>
      <c r="O92">
        <v>117.08499999999999</v>
      </c>
      <c r="P92">
        <v>2.7606000000000002</v>
      </c>
      <c r="Q92">
        <f t="shared" si="6"/>
        <v>7.1112870000000008</v>
      </c>
      <c r="T92">
        <v>8.1183189999999996</v>
      </c>
      <c r="U92">
        <v>176.738</v>
      </c>
      <c r="V92">
        <v>2.8494000000000002</v>
      </c>
      <c r="W92">
        <v>100</v>
      </c>
      <c r="X92">
        <f t="shared" si="7"/>
        <v>7.1183189999999996</v>
      </c>
    </row>
    <row r="93" spans="2:24" x14ac:dyDescent="0.2">
      <c r="B93">
        <v>8.1929390000000009</v>
      </c>
      <c r="C93">
        <v>68.123000000000005</v>
      </c>
      <c r="D93">
        <v>2.6013000000000002</v>
      </c>
      <c r="E93">
        <v>100</v>
      </c>
      <c r="F93">
        <f t="shared" si="4"/>
        <v>7.1929390000000009</v>
      </c>
      <c r="H93">
        <v>8.1940299999999997</v>
      </c>
      <c r="I93">
        <v>79.066000000000003</v>
      </c>
      <c r="J93">
        <v>2.9119999999999999</v>
      </c>
      <c r="K93">
        <v>100</v>
      </c>
      <c r="L93">
        <f t="shared" si="5"/>
        <v>7.1940299999999997</v>
      </c>
      <c r="N93">
        <v>8.2162970000000008</v>
      </c>
      <c r="O93">
        <v>116.919</v>
      </c>
      <c r="P93">
        <v>2.7786</v>
      </c>
      <c r="Q93">
        <f t="shared" si="6"/>
        <v>7.2162970000000008</v>
      </c>
      <c r="T93">
        <v>8.2082630000000005</v>
      </c>
      <c r="U93">
        <v>176.20099999999999</v>
      </c>
      <c r="V93">
        <v>2.8273999999999999</v>
      </c>
      <c r="W93">
        <v>100</v>
      </c>
      <c r="X93">
        <f t="shared" si="7"/>
        <v>7.2082630000000005</v>
      </c>
    </row>
    <row r="94" spans="2:24" x14ac:dyDescent="0.2">
      <c r="B94">
        <v>8.2992519999999992</v>
      </c>
      <c r="C94">
        <v>68.06</v>
      </c>
      <c r="D94">
        <v>2.544</v>
      </c>
      <c r="E94">
        <v>100</v>
      </c>
      <c r="F94">
        <f t="shared" si="4"/>
        <v>7.2992519999999992</v>
      </c>
      <c r="H94">
        <v>8.2579049999999992</v>
      </c>
      <c r="I94">
        <v>79.114999999999995</v>
      </c>
      <c r="J94">
        <v>2.8976999999999999</v>
      </c>
      <c r="K94">
        <v>100</v>
      </c>
      <c r="L94">
        <f t="shared" si="5"/>
        <v>7.2579049999999992</v>
      </c>
      <c r="N94">
        <v>8.2936890000000005</v>
      </c>
      <c r="O94">
        <v>116.878</v>
      </c>
      <c r="P94">
        <v>2.7848999999999999</v>
      </c>
      <c r="Q94">
        <f t="shared" si="6"/>
        <v>7.2936890000000005</v>
      </c>
      <c r="T94">
        <v>8.2991379999999992</v>
      </c>
      <c r="U94">
        <v>175.66399999999999</v>
      </c>
      <c r="V94">
        <v>2.8748999999999998</v>
      </c>
      <c r="W94">
        <v>100</v>
      </c>
      <c r="X94">
        <f t="shared" si="7"/>
        <v>7.2991379999999992</v>
      </c>
    </row>
    <row r="95" spans="2:24" x14ac:dyDescent="0.2">
      <c r="B95">
        <v>8.3766130000000008</v>
      </c>
      <c r="C95">
        <v>67.933999999999997</v>
      </c>
      <c r="D95">
        <v>2.5499000000000001</v>
      </c>
      <c r="E95">
        <v>100</v>
      </c>
      <c r="F95">
        <f t="shared" si="4"/>
        <v>7.3766130000000008</v>
      </c>
      <c r="H95">
        <v>8.3666859999999996</v>
      </c>
      <c r="I95">
        <v>79.308000000000007</v>
      </c>
      <c r="J95">
        <v>2.9980000000000002</v>
      </c>
      <c r="K95">
        <v>100</v>
      </c>
      <c r="L95">
        <f t="shared" si="5"/>
        <v>7.3666859999999996</v>
      </c>
      <c r="N95">
        <v>8.3991249999999997</v>
      </c>
      <c r="O95">
        <v>117.01900000000001</v>
      </c>
      <c r="P95">
        <v>2.7961</v>
      </c>
      <c r="Q95">
        <f t="shared" si="6"/>
        <v>7.3991249999999997</v>
      </c>
      <c r="T95">
        <v>8.391629</v>
      </c>
      <c r="U95">
        <v>175.15700000000001</v>
      </c>
      <c r="V95">
        <v>2.8698000000000001</v>
      </c>
      <c r="W95">
        <v>100</v>
      </c>
      <c r="X95">
        <f t="shared" si="7"/>
        <v>7.391629</v>
      </c>
    </row>
    <row r="96" spans="2:24" x14ac:dyDescent="0.2">
      <c r="B96">
        <v>8.4825289999999995</v>
      </c>
      <c r="C96">
        <v>67.798000000000002</v>
      </c>
      <c r="D96">
        <v>2.5813000000000001</v>
      </c>
      <c r="E96">
        <v>100</v>
      </c>
      <c r="F96">
        <f t="shared" si="4"/>
        <v>7.4825289999999995</v>
      </c>
      <c r="H96">
        <v>8.4446449999999995</v>
      </c>
      <c r="I96">
        <v>79.14</v>
      </c>
      <c r="J96">
        <v>2.99</v>
      </c>
      <c r="K96">
        <v>100</v>
      </c>
      <c r="L96">
        <f t="shared" si="5"/>
        <v>7.4446449999999995</v>
      </c>
      <c r="N96">
        <v>8.4757020000000001</v>
      </c>
      <c r="O96">
        <v>116.634</v>
      </c>
      <c r="P96">
        <v>2.8092999999999999</v>
      </c>
      <c r="Q96">
        <f t="shared" si="6"/>
        <v>7.4757020000000001</v>
      </c>
      <c r="T96">
        <v>8.4810130000000008</v>
      </c>
      <c r="U96">
        <v>174.68100000000001</v>
      </c>
      <c r="V96">
        <v>2.8849999999999998</v>
      </c>
      <c r="W96">
        <v>100</v>
      </c>
      <c r="X96">
        <f t="shared" si="7"/>
        <v>7.4810130000000008</v>
      </c>
    </row>
    <row r="97" spans="2:24" x14ac:dyDescent="0.2">
      <c r="B97">
        <v>8.5598310000000009</v>
      </c>
      <c r="C97">
        <v>67.828000000000003</v>
      </c>
      <c r="D97">
        <v>2.6185</v>
      </c>
      <c r="E97">
        <v>100</v>
      </c>
      <c r="F97">
        <f t="shared" si="4"/>
        <v>7.5598310000000009</v>
      </c>
      <c r="H97">
        <v>8.5530139999999992</v>
      </c>
      <c r="I97">
        <v>78.975999999999999</v>
      </c>
      <c r="J97">
        <v>2.8186</v>
      </c>
      <c r="K97">
        <v>100</v>
      </c>
      <c r="L97">
        <f t="shared" si="5"/>
        <v>7.5530139999999992</v>
      </c>
      <c r="N97">
        <v>8.5798210000000008</v>
      </c>
      <c r="O97">
        <v>116.705</v>
      </c>
      <c r="P97">
        <v>2.8308</v>
      </c>
      <c r="Q97">
        <f t="shared" si="6"/>
        <v>7.5798210000000008</v>
      </c>
      <c r="T97">
        <v>8.5688209999999998</v>
      </c>
      <c r="U97">
        <v>174.07</v>
      </c>
      <c r="V97">
        <v>2.8908999999999998</v>
      </c>
      <c r="W97">
        <v>100</v>
      </c>
      <c r="X97">
        <f t="shared" si="7"/>
        <v>7.5688209999999998</v>
      </c>
    </row>
    <row r="98" spans="2:24" x14ac:dyDescent="0.2">
      <c r="B98">
        <v>8.6658159999999995</v>
      </c>
      <c r="C98">
        <v>67.775000000000006</v>
      </c>
      <c r="D98">
        <v>2.5886999999999998</v>
      </c>
      <c r="E98">
        <v>100</v>
      </c>
      <c r="F98">
        <f t="shared" si="4"/>
        <v>7.6658159999999995</v>
      </c>
      <c r="H98">
        <v>8.6310140000000004</v>
      </c>
      <c r="I98">
        <v>78.912999999999997</v>
      </c>
      <c r="J98">
        <v>2.9460000000000002</v>
      </c>
      <c r="K98">
        <v>100</v>
      </c>
      <c r="L98">
        <f t="shared" si="5"/>
        <v>7.6310140000000004</v>
      </c>
      <c r="N98">
        <v>8.656212</v>
      </c>
      <c r="O98">
        <v>116.511</v>
      </c>
      <c r="P98">
        <v>2.8043999999999998</v>
      </c>
      <c r="Q98">
        <f t="shared" si="6"/>
        <v>7.656212</v>
      </c>
      <c r="T98">
        <v>8.6575690000000005</v>
      </c>
      <c r="U98">
        <v>173.172</v>
      </c>
      <c r="V98">
        <v>2.8883999999999999</v>
      </c>
      <c r="W98">
        <v>100</v>
      </c>
      <c r="X98">
        <f t="shared" si="7"/>
        <v>7.6575690000000005</v>
      </c>
    </row>
    <row r="99" spans="2:24" x14ac:dyDescent="0.2">
      <c r="B99">
        <v>8.7434639999999995</v>
      </c>
      <c r="C99">
        <v>67.972999999999999</v>
      </c>
      <c r="D99">
        <v>2.6004</v>
      </c>
      <c r="E99">
        <v>100</v>
      </c>
      <c r="F99">
        <f t="shared" si="4"/>
        <v>7.7434639999999995</v>
      </c>
      <c r="H99">
        <v>8.7396919999999998</v>
      </c>
      <c r="I99">
        <v>78.793000000000006</v>
      </c>
      <c r="J99">
        <v>3.0310999999999999</v>
      </c>
      <c r="K99">
        <v>100</v>
      </c>
      <c r="L99">
        <f t="shared" si="5"/>
        <v>7.7396919999999998</v>
      </c>
      <c r="N99">
        <v>8.7633639999999993</v>
      </c>
      <c r="O99">
        <v>116.298</v>
      </c>
      <c r="P99">
        <v>2.8214999999999999</v>
      </c>
      <c r="Q99">
        <f t="shared" si="6"/>
        <v>7.7633639999999993</v>
      </c>
      <c r="T99">
        <v>8.7468889999999995</v>
      </c>
      <c r="U99">
        <v>172.19800000000001</v>
      </c>
      <c r="V99">
        <v>2.8784999999999998</v>
      </c>
      <c r="W99">
        <v>100</v>
      </c>
      <c r="X99">
        <f t="shared" si="7"/>
        <v>7.7468889999999995</v>
      </c>
    </row>
    <row r="100" spans="2:24" x14ac:dyDescent="0.2">
      <c r="B100">
        <v>8.8518720000000002</v>
      </c>
      <c r="C100">
        <v>68.052999999999997</v>
      </c>
      <c r="D100">
        <v>2.6000999999999999</v>
      </c>
      <c r="E100">
        <v>100</v>
      </c>
      <c r="F100">
        <f t="shared" si="4"/>
        <v>7.8518720000000002</v>
      </c>
      <c r="H100">
        <v>8.817043</v>
      </c>
      <c r="I100">
        <v>78.787000000000006</v>
      </c>
      <c r="J100">
        <v>2.9308000000000001</v>
      </c>
      <c r="K100">
        <v>100</v>
      </c>
      <c r="L100">
        <f t="shared" si="5"/>
        <v>7.817043</v>
      </c>
      <c r="N100">
        <v>8.8416040000000002</v>
      </c>
      <c r="O100">
        <v>116.23099999999999</v>
      </c>
      <c r="P100">
        <v>2.8544999999999998</v>
      </c>
      <c r="Q100">
        <f t="shared" si="6"/>
        <v>7.8416040000000002</v>
      </c>
      <c r="T100">
        <v>8.8391359999999999</v>
      </c>
      <c r="U100">
        <v>171.321</v>
      </c>
      <c r="V100">
        <v>2.8871000000000002</v>
      </c>
      <c r="W100">
        <v>100</v>
      </c>
      <c r="X100">
        <f t="shared" si="7"/>
        <v>7.8391359999999999</v>
      </c>
    </row>
    <row r="101" spans="2:24" x14ac:dyDescent="0.2">
      <c r="B101">
        <v>8.9300800000000002</v>
      </c>
      <c r="C101">
        <v>68.137</v>
      </c>
      <c r="D101">
        <v>2.6193</v>
      </c>
      <c r="E101">
        <v>100</v>
      </c>
      <c r="F101">
        <f t="shared" si="4"/>
        <v>7.9300800000000002</v>
      </c>
      <c r="H101">
        <v>8.9263370000000002</v>
      </c>
      <c r="I101">
        <v>78.706000000000003</v>
      </c>
      <c r="J101">
        <v>2.9582999999999999</v>
      </c>
      <c r="K101">
        <v>100</v>
      </c>
      <c r="L101">
        <f t="shared" si="5"/>
        <v>7.9263370000000002</v>
      </c>
      <c r="N101">
        <v>8.9473909999999997</v>
      </c>
      <c r="O101">
        <v>116.005</v>
      </c>
      <c r="P101">
        <v>2.8218999999999999</v>
      </c>
      <c r="Q101">
        <f t="shared" si="6"/>
        <v>7.9473909999999997</v>
      </c>
      <c r="T101">
        <v>8.9316610000000001</v>
      </c>
      <c r="U101">
        <v>170.56299999999999</v>
      </c>
      <c r="V101">
        <v>2.8902999999999999</v>
      </c>
      <c r="W101">
        <v>100</v>
      </c>
      <c r="X101">
        <f t="shared" si="7"/>
        <v>7.9316610000000001</v>
      </c>
    </row>
    <row r="102" spans="2:24" x14ac:dyDescent="0.2">
      <c r="B102">
        <v>9.0362720000000003</v>
      </c>
      <c r="C102">
        <v>68.183999999999997</v>
      </c>
      <c r="D102">
        <v>2.6012</v>
      </c>
      <c r="E102">
        <v>100</v>
      </c>
      <c r="F102">
        <f t="shared" si="4"/>
        <v>8.0362720000000003</v>
      </c>
      <c r="H102">
        <v>9.0046579999999992</v>
      </c>
      <c r="I102">
        <v>78.59</v>
      </c>
      <c r="J102">
        <v>2.9876</v>
      </c>
      <c r="K102">
        <v>100</v>
      </c>
      <c r="L102">
        <f t="shared" si="5"/>
        <v>8.0046579999999992</v>
      </c>
      <c r="N102">
        <v>9.024381</v>
      </c>
      <c r="O102">
        <v>115.881</v>
      </c>
      <c r="P102">
        <v>2.8115999999999999</v>
      </c>
      <c r="Q102">
        <f t="shared" si="6"/>
        <v>8.024381</v>
      </c>
      <c r="T102">
        <v>9.0222630000000006</v>
      </c>
      <c r="U102">
        <v>169.95099999999999</v>
      </c>
      <c r="V102">
        <v>2.8967999999999998</v>
      </c>
      <c r="W102">
        <v>100</v>
      </c>
      <c r="X102">
        <f t="shared" si="7"/>
        <v>8.0222630000000006</v>
      </c>
    </row>
    <row r="103" spans="2:24" x14ac:dyDescent="0.2">
      <c r="B103">
        <v>9.1133690000000005</v>
      </c>
      <c r="C103">
        <v>68.319000000000003</v>
      </c>
      <c r="D103">
        <v>2.6044</v>
      </c>
      <c r="E103">
        <v>100</v>
      </c>
      <c r="F103">
        <f t="shared" si="4"/>
        <v>8.1133690000000005</v>
      </c>
      <c r="H103">
        <v>9.1139600000000005</v>
      </c>
      <c r="I103">
        <v>78.849999999999994</v>
      </c>
      <c r="J103">
        <v>3.0171000000000001</v>
      </c>
      <c r="K103">
        <v>100</v>
      </c>
      <c r="L103">
        <f t="shared" si="5"/>
        <v>8.1139600000000005</v>
      </c>
      <c r="N103">
        <v>9.1296890000000008</v>
      </c>
      <c r="O103">
        <v>115.54600000000001</v>
      </c>
      <c r="P103">
        <v>2.7820999999999998</v>
      </c>
      <c r="Q103">
        <f t="shared" si="6"/>
        <v>8.1296890000000008</v>
      </c>
      <c r="T103">
        <v>9.1201030000000003</v>
      </c>
      <c r="U103">
        <v>169.19800000000001</v>
      </c>
      <c r="V103">
        <v>2.8855</v>
      </c>
      <c r="W103">
        <v>100</v>
      </c>
      <c r="X103">
        <f t="shared" si="7"/>
        <v>8.1201030000000003</v>
      </c>
    </row>
    <row r="104" spans="2:24" x14ac:dyDescent="0.2">
      <c r="B104">
        <v>9.2009620000000005</v>
      </c>
      <c r="C104">
        <v>68.203000000000003</v>
      </c>
      <c r="D104">
        <v>2.5794000000000001</v>
      </c>
      <c r="E104">
        <v>100</v>
      </c>
      <c r="F104">
        <f t="shared" si="4"/>
        <v>8.2009620000000005</v>
      </c>
      <c r="H104">
        <v>9.1925240000000006</v>
      </c>
      <c r="I104">
        <v>78.748999999999995</v>
      </c>
      <c r="J104">
        <v>2.9567999999999999</v>
      </c>
      <c r="K104">
        <v>100</v>
      </c>
      <c r="L104">
        <f t="shared" si="5"/>
        <v>8.1925240000000006</v>
      </c>
      <c r="N104">
        <v>9.2066660000000002</v>
      </c>
      <c r="O104">
        <v>115.334</v>
      </c>
      <c r="P104">
        <v>2.8102</v>
      </c>
      <c r="Q104">
        <f t="shared" si="6"/>
        <v>8.2066660000000002</v>
      </c>
      <c r="T104">
        <v>9.2267580000000002</v>
      </c>
      <c r="U104">
        <v>168.745</v>
      </c>
      <c r="V104">
        <v>2.8814000000000002</v>
      </c>
      <c r="W104">
        <v>100</v>
      </c>
      <c r="X104">
        <f t="shared" si="7"/>
        <v>8.2267580000000002</v>
      </c>
    </row>
    <row r="105" spans="2:24" x14ac:dyDescent="0.2">
      <c r="B105">
        <v>9.2779419999999995</v>
      </c>
      <c r="C105">
        <v>68.143000000000001</v>
      </c>
      <c r="D105">
        <v>2.6461000000000001</v>
      </c>
      <c r="E105">
        <v>100</v>
      </c>
      <c r="F105">
        <f t="shared" si="4"/>
        <v>8.2779419999999995</v>
      </c>
      <c r="H105">
        <v>9.3015559999999997</v>
      </c>
      <c r="I105">
        <v>78.539000000000001</v>
      </c>
      <c r="J105">
        <v>2.9660000000000002</v>
      </c>
      <c r="K105">
        <v>100</v>
      </c>
      <c r="L105">
        <f t="shared" si="5"/>
        <v>8.3015559999999997</v>
      </c>
      <c r="N105">
        <v>9.3127809999999993</v>
      </c>
      <c r="O105">
        <v>115.16200000000001</v>
      </c>
      <c r="P105">
        <v>2.8201999999999998</v>
      </c>
      <c r="Q105">
        <f t="shared" si="6"/>
        <v>8.3127809999999993</v>
      </c>
      <c r="T105">
        <v>9.3048029999999997</v>
      </c>
      <c r="U105">
        <v>168.20599999999999</v>
      </c>
      <c r="V105">
        <v>2.8826999999999998</v>
      </c>
      <c r="W105">
        <v>100</v>
      </c>
      <c r="X105">
        <f t="shared" si="7"/>
        <v>8.3048029999999997</v>
      </c>
    </row>
    <row r="106" spans="2:24" x14ac:dyDescent="0.2">
      <c r="B106">
        <v>9.3836510000000004</v>
      </c>
      <c r="C106">
        <v>67.986000000000004</v>
      </c>
      <c r="D106">
        <v>2.6038999999999999</v>
      </c>
      <c r="E106">
        <v>100</v>
      </c>
      <c r="F106">
        <f t="shared" si="4"/>
        <v>8.3836510000000004</v>
      </c>
      <c r="H106">
        <v>9.3789560000000005</v>
      </c>
      <c r="I106">
        <v>78.41</v>
      </c>
      <c r="J106">
        <v>2.9177</v>
      </c>
      <c r="K106">
        <v>100</v>
      </c>
      <c r="L106">
        <f t="shared" si="5"/>
        <v>8.3789560000000005</v>
      </c>
      <c r="N106">
        <v>9.3891559999999998</v>
      </c>
      <c r="O106">
        <v>114.754</v>
      </c>
      <c r="P106">
        <v>2.7805</v>
      </c>
      <c r="Q106">
        <f t="shared" si="6"/>
        <v>8.3891559999999998</v>
      </c>
      <c r="T106">
        <v>9.3956149999999994</v>
      </c>
      <c r="U106">
        <v>167.81</v>
      </c>
      <c r="V106">
        <v>2.8411</v>
      </c>
      <c r="W106">
        <v>100</v>
      </c>
      <c r="X106">
        <f t="shared" si="7"/>
        <v>8.3956149999999994</v>
      </c>
    </row>
    <row r="107" spans="2:24" x14ac:dyDescent="0.2">
      <c r="B107">
        <v>9.4604520000000001</v>
      </c>
      <c r="C107">
        <v>67.849000000000004</v>
      </c>
      <c r="D107">
        <v>2.65</v>
      </c>
      <c r="E107">
        <v>100</v>
      </c>
      <c r="F107">
        <f t="shared" si="4"/>
        <v>8.4604520000000001</v>
      </c>
      <c r="H107">
        <v>9.4880410000000008</v>
      </c>
      <c r="I107">
        <v>78.466999999999999</v>
      </c>
      <c r="J107">
        <v>2.9792999999999998</v>
      </c>
      <c r="K107">
        <v>100</v>
      </c>
      <c r="L107">
        <f t="shared" si="5"/>
        <v>8.4880410000000008</v>
      </c>
      <c r="N107">
        <v>9.4939490000000006</v>
      </c>
      <c r="O107">
        <v>114.68300000000001</v>
      </c>
      <c r="P107">
        <v>2.7749999999999999</v>
      </c>
      <c r="Q107">
        <f t="shared" si="6"/>
        <v>8.4939490000000006</v>
      </c>
      <c r="T107">
        <v>9.4873630000000002</v>
      </c>
      <c r="U107">
        <v>167.55600000000001</v>
      </c>
      <c r="V107">
        <v>2.8561999999999999</v>
      </c>
      <c r="W107">
        <v>100</v>
      </c>
      <c r="X107">
        <f t="shared" si="7"/>
        <v>8.4873630000000002</v>
      </c>
    </row>
    <row r="108" spans="2:24" x14ac:dyDescent="0.2">
      <c r="B108">
        <v>9.5670780000000004</v>
      </c>
      <c r="C108">
        <v>68.084000000000003</v>
      </c>
      <c r="D108">
        <v>2.5969000000000002</v>
      </c>
      <c r="E108">
        <v>100</v>
      </c>
      <c r="F108">
        <f t="shared" si="4"/>
        <v>8.5670780000000004</v>
      </c>
      <c r="H108">
        <v>9.5662839999999996</v>
      </c>
      <c r="I108">
        <v>78.397000000000006</v>
      </c>
      <c r="J108">
        <v>2.9992999999999999</v>
      </c>
      <c r="K108">
        <v>100</v>
      </c>
      <c r="L108">
        <f t="shared" si="5"/>
        <v>8.5662839999999996</v>
      </c>
      <c r="N108">
        <v>9.5705270000000002</v>
      </c>
      <c r="O108">
        <v>114.73099999999999</v>
      </c>
      <c r="P108">
        <v>2.7551999999999999</v>
      </c>
      <c r="Q108">
        <f t="shared" si="6"/>
        <v>8.5705270000000002</v>
      </c>
      <c r="T108">
        <v>9.5788430000000009</v>
      </c>
      <c r="U108">
        <v>167.33699999999999</v>
      </c>
      <c r="V108">
        <v>2.8563999999999998</v>
      </c>
      <c r="W108">
        <v>100</v>
      </c>
      <c r="X108">
        <f t="shared" si="7"/>
        <v>8.5788430000000009</v>
      </c>
    </row>
    <row r="109" spans="2:24" x14ac:dyDescent="0.2">
      <c r="B109">
        <v>9.6443250000000003</v>
      </c>
      <c r="C109">
        <v>68.13</v>
      </c>
      <c r="D109">
        <v>2.6718000000000002</v>
      </c>
      <c r="E109">
        <v>100</v>
      </c>
      <c r="F109">
        <f t="shared" si="4"/>
        <v>8.6443250000000003</v>
      </c>
      <c r="H109">
        <v>9.675497</v>
      </c>
      <c r="I109">
        <v>78.332999999999998</v>
      </c>
      <c r="J109">
        <v>2.9403000000000001</v>
      </c>
      <c r="K109">
        <v>100</v>
      </c>
      <c r="L109">
        <f t="shared" si="5"/>
        <v>8.675497</v>
      </c>
      <c r="N109">
        <v>9.6765129999999999</v>
      </c>
      <c r="O109">
        <v>114.371</v>
      </c>
      <c r="P109">
        <v>2.8018000000000001</v>
      </c>
      <c r="Q109">
        <f t="shared" si="6"/>
        <v>8.6765129999999999</v>
      </c>
      <c r="T109">
        <v>9.6679980000000008</v>
      </c>
      <c r="U109">
        <v>167.221</v>
      </c>
      <c r="V109">
        <v>2.8492000000000002</v>
      </c>
      <c r="W109">
        <v>100</v>
      </c>
      <c r="X109">
        <f t="shared" si="7"/>
        <v>8.6679980000000008</v>
      </c>
    </row>
    <row r="110" spans="2:24" x14ac:dyDescent="0.2">
      <c r="B110">
        <v>9.7507439999999992</v>
      </c>
      <c r="C110">
        <v>67.998999999999995</v>
      </c>
      <c r="D110">
        <v>2.6478999999999999</v>
      </c>
      <c r="E110">
        <v>100</v>
      </c>
      <c r="F110">
        <f t="shared" si="4"/>
        <v>8.7507439999999992</v>
      </c>
      <c r="H110">
        <v>9.7537280000000006</v>
      </c>
      <c r="I110">
        <v>78.245999999999995</v>
      </c>
      <c r="J110">
        <v>2.9981</v>
      </c>
      <c r="K110">
        <v>100</v>
      </c>
      <c r="L110">
        <f t="shared" si="5"/>
        <v>8.7537280000000006</v>
      </c>
      <c r="N110">
        <v>9.7532870000000003</v>
      </c>
      <c r="O110">
        <v>114.602</v>
      </c>
      <c r="P110">
        <v>2.7570000000000001</v>
      </c>
      <c r="Q110">
        <f t="shared" si="6"/>
        <v>8.7532870000000003</v>
      </c>
      <c r="T110">
        <v>9.7545260000000003</v>
      </c>
      <c r="U110">
        <v>166.90600000000001</v>
      </c>
      <c r="V110">
        <v>2.8411</v>
      </c>
      <c r="W110">
        <v>100</v>
      </c>
      <c r="X110">
        <f t="shared" si="7"/>
        <v>8.7545260000000003</v>
      </c>
    </row>
    <row r="111" spans="2:24" x14ac:dyDescent="0.2">
      <c r="B111">
        <v>9.8274019999999993</v>
      </c>
      <c r="C111">
        <v>67.888999999999996</v>
      </c>
      <c r="D111">
        <v>2.6149</v>
      </c>
      <c r="E111">
        <v>100</v>
      </c>
      <c r="F111">
        <f t="shared" si="4"/>
        <v>8.8274019999999993</v>
      </c>
      <c r="H111">
        <v>9.8639060000000001</v>
      </c>
      <c r="I111">
        <v>78.31</v>
      </c>
      <c r="J111">
        <v>2.9676</v>
      </c>
      <c r="K111">
        <v>100</v>
      </c>
      <c r="L111">
        <f t="shared" si="5"/>
        <v>8.8639060000000001</v>
      </c>
      <c r="N111">
        <v>9.8587319999999998</v>
      </c>
      <c r="O111">
        <v>114.554</v>
      </c>
      <c r="P111">
        <v>2.8056999999999999</v>
      </c>
      <c r="Q111">
        <f t="shared" si="6"/>
        <v>8.8587319999999998</v>
      </c>
      <c r="T111">
        <v>9.8437579999999993</v>
      </c>
      <c r="U111">
        <v>167.30799999999999</v>
      </c>
      <c r="V111">
        <v>2.8317000000000001</v>
      </c>
      <c r="W111">
        <v>100</v>
      </c>
      <c r="X111">
        <f t="shared" si="7"/>
        <v>8.8437579999999993</v>
      </c>
    </row>
    <row r="112" spans="2:24" x14ac:dyDescent="0.2">
      <c r="B112">
        <v>9.9330879999999997</v>
      </c>
      <c r="C112">
        <v>68.007000000000005</v>
      </c>
      <c r="D112">
        <v>2.6478000000000002</v>
      </c>
      <c r="E112">
        <v>100</v>
      </c>
      <c r="F112">
        <f t="shared" si="4"/>
        <v>8.9330879999999997</v>
      </c>
      <c r="H112">
        <v>9.9434819999999995</v>
      </c>
      <c r="I112">
        <v>78.277000000000001</v>
      </c>
      <c r="J112">
        <v>2.99</v>
      </c>
      <c r="K112">
        <v>100</v>
      </c>
      <c r="L112">
        <f t="shared" si="5"/>
        <v>8.9434819999999995</v>
      </c>
      <c r="N112">
        <v>9.9369639999999997</v>
      </c>
      <c r="O112">
        <v>114.55500000000001</v>
      </c>
      <c r="P112">
        <v>2.8100999999999998</v>
      </c>
      <c r="Q112">
        <f t="shared" si="6"/>
        <v>8.9369639999999997</v>
      </c>
      <c r="T112">
        <v>9.9616989999999994</v>
      </c>
      <c r="U112">
        <v>167.61699999999999</v>
      </c>
      <c r="V112">
        <v>2.8610000000000002</v>
      </c>
      <c r="W112">
        <v>100</v>
      </c>
      <c r="X112">
        <f t="shared" si="7"/>
        <v>8.9616989999999994</v>
      </c>
    </row>
    <row r="113" spans="2:24" x14ac:dyDescent="0.2">
      <c r="B113">
        <v>10.034257999999999</v>
      </c>
      <c r="C113">
        <v>67.837000000000003</v>
      </c>
      <c r="D113">
        <v>2.61</v>
      </c>
      <c r="E113">
        <v>100</v>
      </c>
      <c r="F113">
        <f t="shared" si="4"/>
        <v>9.0342579999999995</v>
      </c>
      <c r="H113">
        <v>10.008126000000001</v>
      </c>
      <c r="I113">
        <v>78.471999999999994</v>
      </c>
      <c r="J113">
        <v>2.9866999999999999</v>
      </c>
      <c r="K113">
        <v>100</v>
      </c>
      <c r="L113">
        <f t="shared" si="5"/>
        <v>9.0081260000000007</v>
      </c>
      <c r="N113">
        <v>10.04238</v>
      </c>
      <c r="O113">
        <v>114.547</v>
      </c>
      <c r="P113">
        <v>2.8098000000000001</v>
      </c>
      <c r="Q113">
        <f t="shared" si="6"/>
        <v>9.0423799999999996</v>
      </c>
      <c r="T113">
        <v>10.048050999999999</v>
      </c>
      <c r="U113">
        <v>167.59800000000001</v>
      </c>
      <c r="V113">
        <v>2.8536999999999999</v>
      </c>
      <c r="W113">
        <v>100</v>
      </c>
      <c r="X113">
        <f t="shared" si="7"/>
        <v>9.0480509999999992</v>
      </c>
    </row>
    <row r="114" spans="2:24" x14ac:dyDescent="0.2">
      <c r="B114">
        <v>10.140366999999999</v>
      </c>
      <c r="C114">
        <v>67.936999999999998</v>
      </c>
      <c r="D114">
        <v>2.6006</v>
      </c>
      <c r="E114">
        <v>100</v>
      </c>
      <c r="F114">
        <f t="shared" si="4"/>
        <v>9.1403669999999995</v>
      </c>
      <c r="H114">
        <v>10.118392999999999</v>
      </c>
      <c r="I114">
        <v>78.445999999999998</v>
      </c>
      <c r="J114">
        <v>2.9474999999999998</v>
      </c>
      <c r="K114">
        <v>100</v>
      </c>
      <c r="L114">
        <f t="shared" si="5"/>
        <v>9.1183929999999993</v>
      </c>
      <c r="N114">
        <v>10.119585000000001</v>
      </c>
      <c r="O114">
        <v>114.693</v>
      </c>
      <c r="P114">
        <v>2.8332999999999999</v>
      </c>
      <c r="Q114">
        <f t="shared" si="6"/>
        <v>9.1195850000000007</v>
      </c>
      <c r="T114">
        <v>10.136877999999999</v>
      </c>
      <c r="U114">
        <v>167.547</v>
      </c>
      <c r="V114">
        <v>2.8653</v>
      </c>
      <c r="W114">
        <v>0</v>
      </c>
      <c r="X114">
        <f t="shared" si="7"/>
        <v>9.1368779999999994</v>
      </c>
    </row>
    <row r="115" spans="2:24" x14ac:dyDescent="0.2">
      <c r="H115">
        <v>10.196313999999999</v>
      </c>
      <c r="I115">
        <v>78.338999999999999</v>
      </c>
      <c r="J115">
        <v>2.9649000000000001</v>
      </c>
      <c r="K115">
        <v>0</v>
      </c>
    </row>
  </sheetData>
  <mergeCells count="4">
    <mergeCell ref="B2:E2"/>
    <mergeCell ref="N2:Q2"/>
    <mergeCell ref="H2:K2"/>
    <mergeCell ref="T2:W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862EF-69F1-394E-A325-EBED745603CC}">
  <dimension ref="B2:Y115"/>
  <sheetViews>
    <sheetView tabSelected="1" topLeftCell="W14" zoomScale="189" zoomScaleNormal="189" workbookViewId="0">
      <selection activeCell="AL41" sqref="AL41"/>
    </sheetView>
  </sheetViews>
  <sheetFormatPr baseColWidth="10" defaultRowHeight="16" x14ac:dyDescent="0.2"/>
  <cols>
    <col min="8" max="8" width="10.83203125" style="3"/>
  </cols>
  <sheetData>
    <row r="2" spans="2:25" x14ac:dyDescent="0.2">
      <c r="B2" s="2" t="s">
        <v>4</v>
      </c>
      <c r="C2" s="2"/>
      <c r="D2" s="2"/>
      <c r="E2" s="2"/>
      <c r="F2" s="1"/>
      <c r="H2" s="5" t="s">
        <v>5</v>
      </c>
      <c r="I2" s="5"/>
      <c r="J2" s="5"/>
      <c r="K2" s="5"/>
      <c r="L2" s="1"/>
      <c r="O2" t="s">
        <v>9</v>
      </c>
      <c r="S2" s="1"/>
      <c r="U2" t="s">
        <v>10</v>
      </c>
      <c r="Y2" s="1"/>
    </row>
    <row r="3" spans="2:25" x14ac:dyDescent="0.2">
      <c r="B3" t="s">
        <v>0</v>
      </c>
      <c r="C3" t="s">
        <v>1</v>
      </c>
      <c r="D3" t="s">
        <v>2</v>
      </c>
      <c r="E3" t="s">
        <v>3</v>
      </c>
      <c r="F3" t="s">
        <v>8</v>
      </c>
      <c r="H3" t="s">
        <v>0</v>
      </c>
      <c r="I3" t="s">
        <v>1</v>
      </c>
      <c r="J3" t="s">
        <v>2</v>
      </c>
      <c r="K3" t="s">
        <v>3</v>
      </c>
      <c r="L3" t="s">
        <v>8</v>
      </c>
      <c r="O3" t="s">
        <v>0</v>
      </c>
      <c r="P3" t="s">
        <v>1</v>
      </c>
      <c r="Q3" t="s">
        <v>2</v>
      </c>
      <c r="R3" t="s">
        <v>3</v>
      </c>
      <c r="S3" t="s">
        <v>8</v>
      </c>
      <c r="U3" t="s">
        <v>0</v>
      </c>
      <c r="V3" t="s">
        <v>1</v>
      </c>
      <c r="W3" t="s">
        <v>2</v>
      </c>
      <c r="X3" t="s">
        <v>3</v>
      </c>
      <c r="Y3" t="s">
        <v>8</v>
      </c>
    </row>
    <row r="4" spans="2:25" x14ac:dyDescent="0.2">
      <c r="B4">
        <v>0</v>
      </c>
      <c r="C4">
        <v>7.3999999999999996E-2</v>
      </c>
      <c r="D4">
        <v>0.999</v>
      </c>
      <c r="E4">
        <v>0</v>
      </c>
      <c r="F4">
        <f>B4-1</f>
        <v>-1</v>
      </c>
      <c r="H4">
        <v>0</v>
      </c>
      <c r="I4">
        <v>7.4999999999999997E-2</v>
      </c>
      <c r="J4">
        <v>0.88819999999999999</v>
      </c>
      <c r="K4">
        <v>0</v>
      </c>
      <c r="L4">
        <f>H4-1</f>
        <v>-1</v>
      </c>
      <c r="O4">
        <v>0</v>
      </c>
      <c r="P4">
        <v>-0.111</v>
      </c>
      <c r="Q4">
        <v>-1.1880999999999999</v>
      </c>
      <c r="R4">
        <v>0</v>
      </c>
      <c r="S4">
        <f>O4-1</f>
        <v>-1</v>
      </c>
      <c r="U4">
        <v>0</v>
      </c>
      <c r="V4">
        <v>1.7999999999999999E-2</v>
      </c>
      <c r="W4">
        <v>0.21990000000000001</v>
      </c>
      <c r="X4">
        <v>0</v>
      </c>
      <c r="Y4">
        <f>U4-1</f>
        <v>-1</v>
      </c>
    </row>
    <row r="5" spans="2:25" x14ac:dyDescent="0.2">
      <c r="B5">
        <v>9.5560999999999993E-2</v>
      </c>
      <c r="C5">
        <v>5.0999999999999997E-2</v>
      </c>
      <c r="D5">
        <v>0.60029999999999994</v>
      </c>
      <c r="E5">
        <v>0</v>
      </c>
      <c r="F5">
        <f t="shared" ref="F5:F68" si="0">B5-1</f>
        <v>-0.90443899999999999</v>
      </c>
      <c r="H5">
        <v>6.6158999999999996E-2</v>
      </c>
      <c r="I5">
        <v>0.107</v>
      </c>
      <c r="J5">
        <v>1.1248</v>
      </c>
      <c r="K5">
        <v>0</v>
      </c>
      <c r="L5">
        <f t="shared" ref="L5:L68" si="1">H5-1</f>
        <v>-0.93384100000000003</v>
      </c>
      <c r="O5">
        <v>0.117671</v>
      </c>
      <c r="P5">
        <v>-7.2999999999999995E-2</v>
      </c>
      <c r="Q5">
        <v>-0.78259999999999996</v>
      </c>
      <c r="R5">
        <v>0</v>
      </c>
      <c r="S5">
        <f t="shared" ref="S5:S68" si="2">O5-1</f>
        <v>-0.88232900000000003</v>
      </c>
      <c r="U5">
        <v>8.9040999999999995E-2</v>
      </c>
      <c r="V5">
        <v>5.6000000000000001E-2</v>
      </c>
      <c r="W5">
        <v>0.60540000000000005</v>
      </c>
      <c r="X5">
        <v>0</v>
      </c>
      <c r="Y5">
        <f t="shared" ref="Y5:Y68" si="3">U5-1</f>
        <v>-0.91095899999999996</v>
      </c>
    </row>
    <row r="6" spans="2:25" x14ac:dyDescent="0.2">
      <c r="B6">
        <v>0.159245</v>
      </c>
      <c r="C6">
        <v>6.3E-2</v>
      </c>
      <c r="D6">
        <v>0.73719999999999997</v>
      </c>
      <c r="E6">
        <v>0</v>
      </c>
      <c r="F6">
        <f t="shared" si="0"/>
        <v>-0.84075500000000003</v>
      </c>
      <c r="H6">
        <v>0.17963799999999999</v>
      </c>
      <c r="I6">
        <v>0.158</v>
      </c>
      <c r="J6">
        <v>1.8653</v>
      </c>
      <c r="K6">
        <v>0</v>
      </c>
      <c r="L6">
        <f t="shared" si="1"/>
        <v>-0.82036200000000004</v>
      </c>
      <c r="O6">
        <v>0.24252599999999999</v>
      </c>
      <c r="P6">
        <v>-5.2999999999999999E-2</v>
      </c>
      <c r="Q6">
        <v>-0.56430000000000002</v>
      </c>
      <c r="R6">
        <v>0</v>
      </c>
      <c r="S6">
        <f t="shared" si="2"/>
        <v>-0.75747399999999998</v>
      </c>
      <c r="U6">
        <v>0.16561799999999999</v>
      </c>
      <c r="V6">
        <v>8.2000000000000003E-2</v>
      </c>
      <c r="W6">
        <v>1.0004999999999999</v>
      </c>
      <c r="X6">
        <v>0</v>
      </c>
      <c r="Y6">
        <f t="shared" si="3"/>
        <v>-0.83438199999999996</v>
      </c>
    </row>
    <row r="7" spans="2:25" x14ac:dyDescent="0.2">
      <c r="B7">
        <v>0.268096</v>
      </c>
      <c r="C7">
        <v>7.8E-2</v>
      </c>
      <c r="D7">
        <v>0.74029999999999996</v>
      </c>
      <c r="E7">
        <v>0</v>
      </c>
      <c r="F7">
        <f t="shared" si="0"/>
        <v>-0.731904</v>
      </c>
      <c r="H7">
        <v>0.259519</v>
      </c>
      <c r="I7">
        <v>0.109</v>
      </c>
      <c r="J7">
        <v>1.2824</v>
      </c>
      <c r="K7">
        <v>0</v>
      </c>
      <c r="L7">
        <f t="shared" si="1"/>
        <v>-0.74048099999999994</v>
      </c>
      <c r="O7">
        <v>0.30683700000000003</v>
      </c>
      <c r="P7">
        <v>-6.6000000000000003E-2</v>
      </c>
      <c r="Q7">
        <v>-0.79279999999999995</v>
      </c>
      <c r="R7">
        <v>0</v>
      </c>
      <c r="S7">
        <f t="shared" si="2"/>
        <v>-0.69316299999999997</v>
      </c>
      <c r="U7">
        <v>0.28205599999999997</v>
      </c>
      <c r="V7">
        <v>8.8999999999999996E-2</v>
      </c>
      <c r="W7">
        <v>1.0888</v>
      </c>
      <c r="X7">
        <v>0</v>
      </c>
      <c r="Y7">
        <f t="shared" si="3"/>
        <v>-0.71794400000000003</v>
      </c>
    </row>
    <row r="8" spans="2:25" x14ac:dyDescent="0.2">
      <c r="B8">
        <v>0.34773199999999999</v>
      </c>
      <c r="C8">
        <v>3.5999999999999997E-2</v>
      </c>
      <c r="D8">
        <v>0.38169999999999998</v>
      </c>
      <c r="E8">
        <v>0</v>
      </c>
      <c r="F8">
        <f t="shared" si="0"/>
        <v>-0.65226800000000007</v>
      </c>
      <c r="H8">
        <v>0.411638</v>
      </c>
      <c r="I8">
        <v>7.8E-2</v>
      </c>
      <c r="J8">
        <v>0.82</v>
      </c>
      <c r="K8">
        <v>0</v>
      </c>
      <c r="L8">
        <f t="shared" si="1"/>
        <v>-0.58836200000000005</v>
      </c>
      <c r="O8">
        <v>0.42902000000000001</v>
      </c>
      <c r="P8">
        <v>-2.8000000000000001E-2</v>
      </c>
      <c r="Q8">
        <v>-0.29930000000000001</v>
      </c>
      <c r="R8">
        <v>0</v>
      </c>
      <c r="S8">
        <f t="shared" si="2"/>
        <v>-0.57098000000000004</v>
      </c>
      <c r="U8">
        <v>0.36092099999999999</v>
      </c>
      <c r="V8">
        <v>7.4999999999999997E-2</v>
      </c>
      <c r="W8">
        <v>0.91180000000000005</v>
      </c>
      <c r="X8">
        <v>0</v>
      </c>
      <c r="Y8">
        <f t="shared" si="3"/>
        <v>-0.63907899999999995</v>
      </c>
    </row>
    <row r="9" spans="2:25" x14ac:dyDescent="0.2">
      <c r="B9">
        <v>0.45789000000000002</v>
      </c>
      <c r="C9">
        <v>1.4999999999999999E-2</v>
      </c>
      <c r="D9">
        <v>0.19750000000000001</v>
      </c>
      <c r="E9">
        <v>0</v>
      </c>
      <c r="F9">
        <f t="shared" si="0"/>
        <v>-0.54210999999999998</v>
      </c>
      <c r="H9">
        <v>0.52247399999999999</v>
      </c>
      <c r="I9">
        <v>7.4999999999999997E-2</v>
      </c>
      <c r="J9">
        <v>0.88819999999999999</v>
      </c>
      <c r="K9">
        <v>0</v>
      </c>
      <c r="L9">
        <f t="shared" si="1"/>
        <v>-0.47752600000000001</v>
      </c>
      <c r="O9">
        <v>0.51029899999999995</v>
      </c>
      <c r="P9">
        <v>-4.8000000000000001E-2</v>
      </c>
      <c r="Q9">
        <v>-0.58230000000000004</v>
      </c>
      <c r="R9">
        <v>0</v>
      </c>
      <c r="S9">
        <f t="shared" si="2"/>
        <v>-0.48970100000000005</v>
      </c>
      <c r="U9">
        <v>0.43834499999999998</v>
      </c>
      <c r="V9">
        <v>8.2000000000000003E-2</v>
      </c>
      <c r="W9">
        <v>1.0003</v>
      </c>
      <c r="X9">
        <v>0</v>
      </c>
      <c r="Y9">
        <f t="shared" si="3"/>
        <v>-0.56165500000000002</v>
      </c>
    </row>
    <row r="10" spans="2:25" x14ac:dyDescent="0.2">
      <c r="B10">
        <v>0.53845500000000002</v>
      </c>
      <c r="C10">
        <v>-1.7000000000000001E-2</v>
      </c>
      <c r="D10">
        <v>-0.20349999999999999</v>
      </c>
      <c r="E10">
        <v>0</v>
      </c>
      <c r="F10">
        <f t="shared" si="0"/>
        <v>-0.46154499999999998</v>
      </c>
      <c r="H10">
        <v>0.60183900000000001</v>
      </c>
      <c r="I10">
        <v>0.13900000000000001</v>
      </c>
      <c r="J10">
        <v>1.4601</v>
      </c>
      <c r="K10">
        <v>0</v>
      </c>
      <c r="L10">
        <f t="shared" si="1"/>
        <v>-0.39816099999999999</v>
      </c>
      <c r="O10">
        <v>0.59193700000000005</v>
      </c>
      <c r="P10">
        <v>-7.5999999999999998E-2</v>
      </c>
      <c r="Q10">
        <v>-0.91549999999999998</v>
      </c>
      <c r="R10">
        <v>0</v>
      </c>
      <c r="S10">
        <f t="shared" si="2"/>
        <v>-0.40806299999999995</v>
      </c>
      <c r="U10">
        <v>0.55354199999999998</v>
      </c>
      <c r="V10">
        <v>6.9000000000000006E-2</v>
      </c>
      <c r="W10">
        <v>0.8407</v>
      </c>
      <c r="X10">
        <v>0</v>
      </c>
      <c r="Y10">
        <f t="shared" si="3"/>
        <v>-0.44645800000000002</v>
      </c>
    </row>
    <row r="11" spans="2:25" x14ac:dyDescent="0.2">
      <c r="B11">
        <v>0.64936700000000003</v>
      </c>
      <c r="C11">
        <v>-4.4999999999999998E-2</v>
      </c>
      <c r="D11">
        <v>-0.52849999999999997</v>
      </c>
      <c r="E11">
        <v>0</v>
      </c>
      <c r="F11">
        <f t="shared" si="0"/>
        <v>-0.35063299999999997</v>
      </c>
      <c r="H11">
        <v>0.666269</v>
      </c>
      <c r="I11">
        <v>0.13300000000000001</v>
      </c>
      <c r="J11">
        <v>1.5740000000000001</v>
      </c>
      <c r="K11">
        <v>0</v>
      </c>
      <c r="L11">
        <f t="shared" si="1"/>
        <v>-0.333731</v>
      </c>
      <c r="O11">
        <v>0.67203900000000005</v>
      </c>
      <c r="P11">
        <v>-6.6000000000000003E-2</v>
      </c>
      <c r="Q11">
        <v>-0.70469999999999999</v>
      </c>
      <c r="R11">
        <v>0</v>
      </c>
      <c r="S11">
        <f t="shared" si="2"/>
        <v>-0.32796099999999995</v>
      </c>
      <c r="U11">
        <v>0.63185599999999997</v>
      </c>
      <c r="V11">
        <v>4.7E-2</v>
      </c>
      <c r="W11">
        <v>0.5746</v>
      </c>
      <c r="X11">
        <v>0</v>
      </c>
      <c r="Y11">
        <f t="shared" si="3"/>
        <v>-0.36814400000000003</v>
      </c>
    </row>
    <row r="12" spans="2:25" x14ac:dyDescent="0.2">
      <c r="B12">
        <v>0.73016400000000004</v>
      </c>
      <c r="C12">
        <v>-4.4999999999999998E-2</v>
      </c>
      <c r="D12">
        <v>-0.52849999999999997</v>
      </c>
      <c r="E12">
        <v>0</v>
      </c>
      <c r="F12">
        <f t="shared" si="0"/>
        <v>-0.26983599999999996</v>
      </c>
      <c r="H12">
        <v>0.777443</v>
      </c>
      <c r="I12">
        <v>0.08</v>
      </c>
      <c r="J12">
        <v>0.83520000000000005</v>
      </c>
      <c r="K12">
        <v>0</v>
      </c>
      <c r="L12">
        <f t="shared" si="1"/>
        <v>-0.222557</v>
      </c>
      <c r="O12">
        <v>0.79013</v>
      </c>
      <c r="P12">
        <v>-3.5000000000000003E-2</v>
      </c>
      <c r="Q12">
        <v>-0.48499999999999999</v>
      </c>
      <c r="R12">
        <v>0</v>
      </c>
      <c r="S12">
        <f t="shared" si="2"/>
        <v>-0.20987</v>
      </c>
      <c r="U12">
        <v>0.74870499999999995</v>
      </c>
      <c r="V12">
        <v>0.115</v>
      </c>
      <c r="W12">
        <v>1.4081999999999999</v>
      </c>
      <c r="X12">
        <v>0</v>
      </c>
      <c r="Y12">
        <f t="shared" si="3"/>
        <v>-0.25129500000000005</v>
      </c>
    </row>
    <row r="13" spans="2:25" x14ac:dyDescent="0.2">
      <c r="B13">
        <v>0.83958600000000005</v>
      </c>
      <c r="C13">
        <v>-3.3000000000000002E-2</v>
      </c>
      <c r="D13">
        <v>-0.39169999999999999</v>
      </c>
      <c r="E13">
        <v>0</v>
      </c>
      <c r="F13">
        <f t="shared" si="0"/>
        <v>-0.16041399999999995</v>
      </c>
      <c r="H13">
        <v>0.85737399999999997</v>
      </c>
      <c r="I13">
        <v>0.111</v>
      </c>
      <c r="J13">
        <v>1.3168</v>
      </c>
      <c r="K13">
        <v>0</v>
      </c>
      <c r="L13">
        <f t="shared" si="1"/>
        <v>-0.14262600000000003</v>
      </c>
      <c r="O13">
        <v>0.86916899999999997</v>
      </c>
      <c r="P13">
        <v>4.0000000000000001E-3</v>
      </c>
      <c r="Q13">
        <v>4.9099999999999998E-2</v>
      </c>
      <c r="R13">
        <v>0</v>
      </c>
      <c r="S13">
        <f t="shared" si="2"/>
        <v>-0.13083100000000003</v>
      </c>
      <c r="U13">
        <v>0.82461700000000004</v>
      </c>
      <c r="V13">
        <v>0.16300000000000001</v>
      </c>
      <c r="W13">
        <v>1.7718</v>
      </c>
      <c r="X13">
        <v>0</v>
      </c>
      <c r="Y13">
        <f t="shared" si="3"/>
        <v>-0.17538299999999996</v>
      </c>
    </row>
    <row r="14" spans="2:25" x14ac:dyDescent="0.2">
      <c r="B14">
        <v>0.91966800000000004</v>
      </c>
      <c r="C14">
        <v>-8.9999999999999993E-3</v>
      </c>
      <c r="D14">
        <v>-0.1009</v>
      </c>
      <c r="E14">
        <v>0</v>
      </c>
      <c r="F14">
        <f t="shared" si="0"/>
        <v>-8.0331999999999959E-2</v>
      </c>
      <c r="H14">
        <v>0.92168600000000001</v>
      </c>
      <c r="I14">
        <v>0.11899999999999999</v>
      </c>
      <c r="J14">
        <v>1.4024000000000001</v>
      </c>
      <c r="K14">
        <v>0</v>
      </c>
      <c r="L14">
        <f t="shared" si="1"/>
        <v>-7.8313999999999995E-2</v>
      </c>
      <c r="O14">
        <v>0.94781099999999996</v>
      </c>
      <c r="P14">
        <v>-4.2000000000000003E-2</v>
      </c>
      <c r="Q14">
        <v>-0.45519999999999999</v>
      </c>
      <c r="R14">
        <v>0</v>
      </c>
      <c r="S14">
        <f t="shared" si="2"/>
        <v>-5.2189000000000041E-2</v>
      </c>
      <c r="U14">
        <v>0.90033600000000003</v>
      </c>
      <c r="V14">
        <v>0.13</v>
      </c>
      <c r="W14">
        <v>1.4094</v>
      </c>
      <c r="X14">
        <v>0</v>
      </c>
      <c r="Y14">
        <f t="shared" si="3"/>
        <v>-9.9663999999999975E-2</v>
      </c>
    </row>
    <row r="15" spans="2:25" x14ac:dyDescent="0.2">
      <c r="B15">
        <v>1.029115</v>
      </c>
      <c r="C15">
        <v>-3.2000000000000001E-2</v>
      </c>
      <c r="D15">
        <v>-0.37459999999999999</v>
      </c>
      <c r="E15">
        <v>33</v>
      </c>
      <c r="F15">
        <f t="shared" si="0"/>
        <v>2.9115000000000002E-2</v>
      </c>
      <c r="H15">
        <v>1.01474</v>
      </c>
      <c r="I15">
        <v>0.12</v>
      </c>
      <c r="J15">
        <v>1.2618</v>
      </c>
      <c r="K15">
        <v>0</v>
      </c>
      <c r="L15">
        <f t="shared" si="1"/>
        <v>1.4739999999999975E-2</v>
      </c>
      <c r="O15">
        <v>1.0261309999999999</v>
      </c>
      <c r="P15">
        <v>-7.2999999999999995E-2</v>
      </c>
      <c r="Q15">
        <v>-1.006</v>
      </c>
      <c r="R15">
        <v>0</v>
      </c>
      <c r="S15">
        <f t="shared" si="2"/>
        <v>2.6130999999999904E-2</v>
      </c>
      <c r="U15">
        <v>1.016259</v>
      </c>
      <c r="V15">
        <v>0.121</v>
      </c>
      <c r="W15">
        <v>1.4790000000000001</v>
      </c>
      <c r="X15">
        <v>0</v>
      </c>
      <c r="Y15">
        <f t="shared" si="3"/>
        <v>1.6259000000000023E-2</v>
      </c>
    </row>
    <row r="16" spans="2:25" x14ac:dyDescent="0.2">
      <c r="B16">
        <v>1.1093710000000001</v>
      </c>
      <c r="C16">
        <v>-2.3E-2</v>
      </c>
      <c r="D16">
        <v>-0.27189999999999998</v>
      </c>
      <c r="E16">
        <v>33</v>
      </c>
      <c r="F16">
        <f t="shared" si="0"/>
        <v>0.10937100000000011</v>
      </c>
      <c r="H16">
        <v>1.1188</v>
      </c>
      <c r="I16">
        <v>0.05</v>
      </c>
      <c r="J16">
        <v>0.59670000000000001</v>
      </c>
      <c r="K16">
        <v>33</v>
      </c>
      <c r="L16">
        <f t="shared" si="1"/>
        <v>0.11880000000000002</v>
      </c>
      <c r="O16">
        <v>1.143451</v>
      </c>
      <c r="P16">
        <v>-6.4000000000000001E-2</v>
      </c>
      <c r="Q16">
        <v>-0.88590000000000002</v>
      </c>
      <c r="R16">
        <v>33</v>
      </c>
      <c r="S16">
        <f t="shared" si="2"/>
        <v>0.143451</v>
      </c>
      <c r="U16">
        <v>1.119983</v>
      </c>
      <c r="V16">
        <v>0.13400000000000001</v>
      </c>
      <c r="W16">
        <v>1.6386000000000001</v>
      </c>
      <c r="X16">
        <v>33</v>
      </c>
      <c r="Y16">
        <f t="shared" si="3"/>
        <v>0.11998299999999995</v>
      </c>
    </row>
    <row r="17" spans="2:25" x14ac:dyDescent="0.2">
      <c r="B17">
        <v>1.1811780000000001</v>
      </c>
      <c r="C17">
        <v>0.01</v>
      </c>
      <c r="D17">
        <v>0.12139999999999999</v>
      </c>
      <c r="E17">
        <v>33</v>
      </c>
      <c r="F17">
        <f t="shared" si="0"/>
        <v>0.18117800000000006</v>
      </c>
      <c r="H17">
        <v>1.192045</v>
      </c>
      <c r="I17">
        <v>-2E-3</v>
      </c>
      <c r="J17">
        <v>-2.35E-2</v>
      </c>
      <c r="K17">
        <v>33</v>
      </c>
      <c r="L17">
        <f t="shared" si="1"/>
        <v>0.19204500000000002</v>
      </c>
      <c r="O17">
        <v>1.20505</v>
      </c>
      <c r="P17">
        <v>-8.8999999999999996E-2</v>
      </c>
      <c r="Q17">
        <v>-1.0732999999999999</v>
      </c>
      <c r="R17">
        <v>33</v>
      </c>
      <c r="S17">
        <f t="shared" si="2"/>
        <v>0.20504999999999995</v>
      </c>
      <c r="U17">
        <v>1.1999379999999999</v>
      </c>
      <c r="V17">
        <v>0.156</v>
      </c>
      <c r="W17">
        <v>1.9051</v>
      </c>
      <c r="X17">
        <v>33</v>
      </c>
      <c r="Y17">
        <f t="shared" si="3"/>
        <v>0.19993799999999995</v>
      </c>
    </row>
    <row r="18" spans="2:25" x14ac:dyDescent="0.2">
      <c r="B18">
        <v>1.290737</v>
      </c>
      <c r="C18">
        <v>3.9E-2</v>
      </c>
      <c r="D18">
        <v>1.2200000000000001E-2</v>
      </c>
      <c r="E18">
        <v>33</v>
      </c>
      <c r="F18">
        <f t="shared" si="0"/>
        <v>0.29073700000000002</v>
      </c>
      <c r="H18">
        <v>1.303042</v>
      </c>
      <c r="I18">
        <v>2.5999999999999999E-2</v>
      </c>
      <c r="J18">
        <v>0.24410000000000001</v>
      </c>
      <c r="K18">
        <v>33</v>
      </c>
      <c r="L18">
        <f t="shared" si="1"/>
        <v>0.30304200000000003</v>
      </c>
      <c r="O18">
        <v>1.3301959999999999</v>
      </c>
      <c r="P18">
        <v>-6.7000000000000004E-2</v>
      </c>
      <c r="Q18">
        <v>-0.64810000000000001</v>
      </c>
      <c r="R18">
        <v>33</v>
      </c>
      <c r="S18">
        <f t="shared" si="2"/>
        <v>0.33019599999999993</v>
      </c>
      <c r="U18">
        <v>1.276975</v>
      </c>
      <c r="V18">
        <v>6.4000000000000001E-2</v>
      </c>
      <c r="W18">
        <v>0.7</v>
      </c>
      <c r="X18">
        <v>33</v>
      </c>
      <c r="Y18">
        <f t="shared" si="3"/>
        <v>0.27697499999999997</v>
      </c>
    </row>
    <row r="19" spans="2:25" x14ac:dyDescent="0.2">
      <c r="B19">
        <v>1.370941</v>
      </c>
      <c r="C19">
        <v>4.8000000000000001E-2</v>
      </c>
      <c r="D19">
        <v>6.4999999999999997E-3</v>
      </c>
      <c r="E19">
        <v>33</v>
      </c>
      <c r="F19">
        <f t="shared" si="0"/>
        <v>0.37094099999999997</v>
      </c>
      <c r="H19">
        <v>1.3824050000000001</v>
      </c>
      <c r="I19">
        <v>7.3999999999999996E-2</v>
      </c>
      <c r="J19">
        <v>1.12E-2</v>
      </c>
      <c r="K19">
        <v>33</v>
      </c>
      <c r="L19">
        <f t="shared" si="1"/>
        <v>0.38240500000000011</v>
      </c>
      <c r="O19">
        <v>1.407486</v>
      </c>
      <c r="P19">
        <v>-2.8000000000000001E-2</v>
      </c>
      <c r="Q19">
        <v>-6.3E-3</v>
      </c>
      <c r="R19">
        <v>33</v>
      </c>
      <c r="S19">
        <f t="shared" si="2"/>
        <v>0.40748600000000001</v>
      </c>
      <c r="U19">
        <v>1.3932549999999999</v>
      </c>
      <c r="V19">
        <v>5.3999999999999999E-2</v>
      </c>
      <c r="W19">
        <v>6.1999999999999998E-3</v>
      </c>
      <c r="X19">
        <v>33</v>
      </c>
      <c r="Y19">
        <f t="shared" si="3"/>
        <v>0.39325499999999991</v>
      </c>
    </row>
    <row r="20" spans="2:25" x14ac:dyDescent="0.2">
      <c r="B20">
        <v>1.4502790000000001</v>
      </c>
      <c r="C20">
        <v>1.0580000000000001</v>
      </c>
      <c r="D20">
        <v>0.24260000000000001</v>
      </c>
      <c r="E20">
        <v>33</v>
      </c>
      <c r="F20">
        <f t="shared" si="0"/>
        <v>0.4502790000000001</v>
      </c>
      <c r="H20">
        <v>1.447417</v>
      </c>
      <c r="I20">
        <v>0.252</v>
      </c>
      <c r="J20">
        <v>4.4600000000000001E-2</v>
      </c>
      <c r="K20">
        <v>33</v>
      </c>
      <c r="L20">
        <f t="shared" si="1"/>
        <v>0.44741699999999995</v>
      </c>
      <c r="O20">
        <v>1.486186</v>
      </c>
      <c r="P20">
        <v>-1.9E-2</v>
      </c>
      <c r="Q20">
        <v>-8.9999999999999998E-4</v>
      </c>
      <c r="R20">
        <v>33</v>
      </c>
      <c r="S20">
        <f t="shared" si="2"/>
        <v>0.48618600000000001</v>
      </c>
      <c r="U20">
        <v>1.4694640000000001</v>
      </c>
      <c r="V20">
        <v>0.35199999999999998</v>
      </c>
      <c r="W20">
        <v>1.67E-2</v>
      </c>
      <c r="X20">
        <v>33</v>
      </c>
      <c r="Y20">
        <f t="shared" si="3"/>
        <v>0.4694640000000001</v>
      </c>
    </row>
    <row r="21" spans="2:25" x14ac:dyDescent="0.2">
      <c r="B21">
        <v>1.5611870000000001</v>
      </c>
      <c r="C21">
        <v>6.5140000000000002</v>
      </c>
      <c r="D21">
        <v>1.6477999999999999</v>
      </c>
      <c r="E21">
        <v>33</v>
      </c>
      <c r="F21">
        <f t="shared" si="0"/>
        <v>0.5611870000000001</v>
      </c>
      <c r="H21">
        <v>1.572236</v>
      </c>
      <c r="I21">
        <v>3.2120000000000002</v>
      </c>
      <c r="J21">
        <v>0.82709999999999995</v>
      </c>
      <c r="K21">
        <v>33</v>
      </c>
      <c r="L21">
        <f t="shared" si="1"/>
        <v>0.57223599999999997</v>
      </c>
      <c r="O21">
        <v>1.579677</v>
      </c>
      <c r="P21">
        <v>1.546</v>
      </c>
      <c r="Q21">
        <v>7.3099999999999998E-2</v>
      </c>
      <c r="R21">
        <v>33</v>
      </c>
      <c r="S21">
        <f t="shared" si="2"/>
        <v>0.579677</v>
      </c>
      <c r="U21">
        <v>1.560673</v>
      </c>
      <c r="V21">
        <v>4.1310000000000002</v>
      </c>
      <c r="W21">
        <v>0.21229999999999999</v>
      </c>
      <c r="X21">
        <v>33</v>
      </c>
      <c r="Y21">
        <f t="shared" si="3"/>
        <v>0.56067299999999998</v>
      </c>
    </row>
    <row r="22" spans="2:25" x14ac:dyDescent="0.2">
      <c r="B22">
        <v>1.651089</v>
      </c>
      <c r="C22">
        <v>11.363</v>
      </c>
      <c r="D22">
        <v>2.6610999999999998</v>
      </c>
      <c r="E22">
        <v>33</v>
      </c>
      <c r="F22">
        <f t="shared" si="0"/>
        <v>0.65108900000000003</v>
      </c>
      <c r="H22">
        <v>1.652012</v>
      </c>
      <c r="I22">
        <v>10.167</v>
      </c>
      <c r="J22">
        <v>2.5909</v>
      </c>
      <c r="K22">
        <v>33</v>
      </c>
      <c r="L22">
        <f t="shared" si="1"/>
        <v>0.65201200000000004</v>
      </c>
      <c r="O22">
        <v>1.67262</v>
      </c>
      <c r="P22">
        <v>10.284000000000001</v>
      </c>
      <c r="Q22">
        <v>0.4914</v>
      </c>
      <c r="R22">
        <v>33</v>
      </c>
      <c r="S22">
        <f t="shared" si="2"/>
        <v>0.67262</v>
      </c>
      <c r="U22">
        <v>1.660841</v>
      </c>
      <c r="V22">
        <v>15.426</v>
      </c>
      <c r="W22">
        <v>0.79039999999999999</v>
      </c>
      <c r="X22">
        <v>33</v>
      </c>
      <c r="Y22">
        <f t="shared" si="3"/>
        <v>0.66084100000000001</v>
      </c>
    </row>
    <row r="23" spans="2:25" x14ac:dyDescent="0.2">
      <c r="B23">
        <v>1.738421</v>
      </c>
      <c r="C23">
        <v>12.065</v>
      </c>
      <c r="D23">
        <v>2.8913000000000002</v>
      </c>
      <c r="E23">
        <v>33</v>
      </c>
      <c r="F23">
        <f t="shared" si="0"/>
        <v>0.73842099999999999</v>
      </c>
      <c r="H23">
        <v>1.72675</v>
      </c>
      <c r="I23">
        <v>13.103</v>
      </c>
      <c r="J23">
        <v>3.2951999999999999</v>
      </c>
      <c r="K23">
        <v>33</v>
      </c>
      <c r="L23">
        <f t="shared" si="1"/>
        <v>0.72675000000000001</v>
      </c>
      <c r="O23">
        <v>1.759698</v>
      </c>
      <c r="P23">
        <v>20.913</v>
      </c>
      <c r="Q23">
        <v>1.018</v>
      </c>
      <c r="R23">
        <v>33</v>
      </c>
      <c r="S23">
        <f t="shared" si="2"/>
        <v>0.75969799999999998</v>
      </c>
      <c r="U23">
        <v>1.7491019999999999</v>
      </c>
      <c r="V23">
        <v>24.994</v>
      </c>
      <c r="W23">
        <v>1.2825</v>
      </c>
      <c r="X23">
        <v>33</v>
      </c>
      <c r="Y23">
        <f t="shared" si="3"/>
        <v>0.74910199999999993</v>
      </c>
    </row>
    <row r="24" spans="2:25" x14ac:dyDescent="0.2">
      <c r="B24">
        <v>1.856662</v>
      </c>
      <c r="C24">
        <v>11.968999999999999</v>
      </c>
      <c r="D24">
        <v>2.6234999999999999</v>
      </c>
      <c r="E24">
        <v>33</v>
      </c>
      <c r="F24">
        <f t="shared" si="0"/>
        <v>0.85666200000000003</v>
      </c>
      <c r="H24">
        <v>1.8473170000000001</v>
      </c>
      <c r="I24">
        <v>13.077</v>
      </c>
      <c r="J24">
        <v>3.181</v>
      </c>
      <c r="K24">
        <v>33</v>
      </c>
      <c r="L24">
        <f t="shared" si="1"/>
        <v>0.8473170000000001</v>
      </c>
      <c r="O24">
        <v>1.8757140000000001</v>
      </c>
      <c r="P24">
        <v>25.321000000000002</v>
      </c>
      <c r="Q24">
        <v>1.2081</v>
      </c>
      <c r="R24">
        <v>33</v>
      </c>
      <c r="S24">
        <f t="shared" si="2"/>
        <v>0.8757140000000001</v>
      </c>
      <c r="U24">
        <v>1.8373090000000001</v>
      </c>
      <c r="V24">
        <v>28.704999999999998</v>
      </c>
      <c r="W24">
        <v>1.4096</v>
      </c>
      <c r="X24">
        <v>33</v>
      </c>
      <c r="Y24">
        <f t="shared" si="3"/>
        <v>0.83730900000000008</v>
      </c>
    </row>
    <row r="25" spans="2:25" x14ac:dyDescent="0.2">
      <c r="B25">
        <v>1.9343109999999999</v>
      </c>
      <c r="C25">
        <v>11.842000000000001</v>
      </c>
      <c r="D25">
        <v>2.8302</v>
      </c>
      <c r="E25">
        <v>33</v>
      </c>
      <c r="F25">
        <f t="shared" si="0"/>
        <v>0.93431099999999989</v>
      </c>
      <c r="H25">
        <v>1.9253549999999999</v>
      </c>
      <c r="I25">
        <v>12.977</v>
      </c>
      <c r="J25">
        <v>2.9821</v>
      </c>
      <c r="K25">
        <v>33</v>
      </c>
      <c r="L25">
        <f t="shared" si="1"/>
        <v>0.92535499999999993</v>
      </c>
      <c r="O25">
        <v>1.9545520000000001</v>
      </c>
      <c r="P25">
        <v>26.356999999999999</v>
      </c>
      <c r="Q25">
        <v>1.2585999999999999</v>
      </c>
      <c r="R25">
        <v>33</v>
      </c>
      <c r="S25">
        <f t="shared" si="2"/>
        <v>0.95455200000000007</v>
      </c>
      <c r="U25">
        <v>1.9236960000000001</v>
      </c>
      <c r="V25">
        <v>29.794</v>
      </c>
      <c r="W25">
        <v>1.4517</v>
      </c>
      <c r="X25">
        <v>33</v>
      </c>
      <c r="Y25">
        <f t="shared" si="3"/>
        <v>0.92369600000000007</v>
      </c>
    </row>
    <row r="26" spans="2:25" x14ac:dyDescent="0.2">
      <c r="B26">
        <v>2.0418790000000002</v>
      </c>
      <c r="C26">
        <v>11.768000000000001</v>
      </c>
      <c r="D26">
        <v>2.7115999999999998</v>
      </c>
      <c r="E26">
        <v>33</v>
      </c>
      <c r="F26">
        <f t="shared" si="0"/>
        <v>1.0418790000000002</v>
      </c>
      <c r="H26">
        <v>2.014815</v>
      </c>
      <c r="I26">
        <v>12.958</v>
      </c>
      <c r="J26">
        <v>3.3294999999999999</v>
      </c>
      <c r="K26">
        <v>33</v>
      </c>
      <c r="L26">
        <f t="shared" si="1"/>
        <v>1.014815</v>
      </c>
      <c r="O26">
        <v>2.0335999999999999</v>
      </c>
      <c r="P26">
        <v>26.550999999999998</v>
      </c>
      <c r="Q26">
        <v>1.3245</v>
      </c>
      <c r="R26">
        <v>33</v>
      </c>
      <c r="S26">
        <f t="shared" si="2"/>
        <v>1.0335999999999999</v>
      </c>
      <c r="U26">
        <v>2.009582</v>
      </c>
      <c r="V26">
        <v>30.062999999999999</v>
      </c>
      <c r="W26">
        <v>1.4741</v>
      </c>
      <c r="X26">
        <v>33</v>
      </c>
      <c r="Y26">
        <f t="shared" si="3"/>
        <v>1.009582</v>
      </c>
    </row>
    <row r="27" spans="2:25" x14ac:dyDescent="0.2">
      <c r="B27">
        <v>2.1204339999999999</v>
      </c>
      <c r="C27">
        <v>11.763</v>
      </c>
      <c r="D27">
        <v>2.7925</v>
      </c>
      <c r="E27">
        <v>33</v>
      </c>
      <c r="F27">
        <f t="shared" si="0"/>
        <v>1.1204339999999999</v>
      </c>
      <c r="H27">
        <v>2.0925210000000001</v>
      </c>
      <c r="I27">
        <v>12.944000000000001</v>
      </c>
      <c r="J27">
        <v>3.3447</v>
      </c>
      <c r="K27">
        <v>33</v>
      </c>
      <c r="L27">
        <f t="shared" si="1"/>
        <v>1.0925210000000001</v>
      </c>
      <c r="O27">
        <v>2.1524730000000001</v>
      </c>
      <c r="P27">
        <v>26.693000000000001</v>
      </c>
      <c r="Q27">
        <v>1.3105</v>
      </c>
      <c r="R27">
        <v>33</v>
      </c>
      <c r="S27">
        <f t="shared" si="2"/>
        <v>1.1524730000000001</v>
      </c>
      <c r="U27">
        <v>2.1255169999999999</v>
      </c>
      <c r="V27">
        <v>30.145</v>
      </c>
      <c r="W27">
        <v>1.5474000000000001</v>
      </c>
      <c r="X27">
        <v>33</v>
      </c>
      <c r="Y27">
        <f t="shared" si="3"/>
        <v>1.1255169999999999</v>
      </c>
    </row>
    <row r="28" spans="2:25" x14ac:dyDescent="0.2">
      <c r="B28">
        <v>2.1820200000000001</v>
      </c>
      <c r="C28">
        <v>11.836</v>
      </c>
      <c r="D28">
        <v>3.0274999999999999</v>
      </c>
      <c r="E28">
        <v>33</v>
      </c>
      <c r="F28">
        <f t="shared" si="0"/>
        <v>1.1820200000000001</v>
      </c>
      <c r="H28">
        <v>2.2011599999999998</v>
      </c>
      <c r="I28">
        <v>12.941000000000001</v>
      </c>
      <c r="J28">
        <v>2.9868000000000001</v>
      </c>
      <c r="K28">
        <v>33</v>
      </c>
      <c r="L28">
        <f t="shared" si="1"/>
        <v>1.2011599999999998</v>
      </c>
      <c r="O28">
        <v>2.2307839999999999</v>
      </c>
      <c r="P28">
        <v>26.478000000000002</v>
      </c>
      <c r="Q28">
        <v>1.2793000000000001</v>
      </c>
      <c r="R28">
        <v>33</v>
      </c>
      <c r="S28">
        <f t="shared" si="2"/>
        <v>1.2307839999999999</v>
      </c>
      <c r="U28">
        <v>2.2011080000000001</v>
      </c>
      <c r="V28">
        <v>30.18</v>
      </c>
      <c r="W28">
        <v>1.5298</v>
      </c>
      <c r="X28">
        <v>33</v>
      </c>
      <c r="Y28">
        <f t="shared" si="3"/>
        <v>1.2011080000000001</v>
      </c>
    </row>
    <row r="29" spans="2:25" x14ac:dyDescent="0.2">
      <c r="B29">
        <v>2.2882180000000001</v>
      </c>
      <c r="C29">
        <v>11.781000000000001</v>
      </c>
      <c r="D29">
        <v>2.6749000000000001</v>
      </c>
      <c r="E29">
        <v>33</v>
      </c>
      <c r="F29">
        <f t="shared" si="0"/>
        <v>1.2882180000000001</v>
      </c>
      <c r="H29">
        <v>2.2782610000000001</v>
      </c>
      <c r="I29">
        <v>12.855</v>
      </c>
      <c r="J29">
        <v>2.9746999999999999</v>
      </c>
      <c r="K29">
        <v>33</v>
      </c>
      <c r="L29">
        <f t="shared" si="1"/>
        <v>1.2782610000000001</v>
      </c>
      <c r="O29">
        <v>2.3079939999999999</v>
      </c>
      <c r="P29">
        <v>26.465</v>
      </c>
      <c r="Q29">
        <v>1.2914000000000001</v>
      </c>
      <c r="R29">
        <v>33</v>
      </c>
      <c r="S29">
        <f t="shared" si="2"/>
        <v>1.3079939999999999</v>
      </c>
      <c r="U29">
        <v>2.3181940000000001</v>
      </c>
      <c r="V29">
        <v>30.093</v>
      </c>
      <c r="W29">
        <v>1.5201</v>
      </c>
      <c r="X29">
        <v>33</v>
      </c>
      <c r="Y29">
        <f t="shared" si="3"/>
        <v>1.3181940000000001</v>
      </c>
    </row>
    <row r="30" spans="2:25" x14ac:dyDescent="0.2">
      <c r="B30">
        <v>2.3889149999999999</v>
      </c>
      <c r="C30">
        <v>11.794</v>
      </c>
      <c r="D30">
        <v>2.653</v>
      </c>
      <c r="E30">
        <v>33</v>
      </c>
      <c r="F30">
        <f t="shared" si="0"/>
        <v>1.3889149999999999</v>
      </c>
      <c r="H30">
        <v>2.387178</v>
      </c>
      <c r="I30">
        <v>12.776</v>
      </c>
      <c r="J30">
        <v>3.2648999999999999</v>
      </c>
      <c r="K30">
        <v>33</v>
      </c>
      <c r="L30">
        <f t="shared" si="1"/>
        <v>1.387178</v>
      </c>
      <c r="O30">
        <v>2.4246189999999999</v>
      </c>
      <c r="P30">
        <v>26.486999999999998</v>
      </c>
      <c r="Q30">
        <v>1.3331</v>
      </c>
      <c r="R30">
        <v>33</v>
      </c>
      <c r="S30">
        <f t="shared" si="2"/>
        <v>1.4246189999999999</v>
      </c>
      <c r="U30">
        <v>2.3777430000000002</v>
      </c>
      <c r="V30">
        <v>29.974</v>
      </c>
      <c r="W30">
        <v>1.4752000000000001</v>
      </c>
      <c r="X30">
        <v>33</v>
      </c>
      <c r="Y30">
        <f t="shared" si="3"/>
        <v>1.3777430000000002</v>
      </c>
    </row>
    <row r="31" spans="2:25" x14ac:dyDescent="0.2">
      <c r="B31">
        <v>2.4946250000000001</v>
      </c>
      <c r="C31">
        <v>11.816000000000001</v>
      </c>
      <c r="D31">
        <v>2.5158999999999998</v>
      </c>
      <c r="E31">
        <v>33</v>
      </c>
      <c r="F31">
        <f t="shared" si="0"/>
        <v>1.4946250000000001</v>
      </c>
      <c r="H31">
        <v>2.4649320000000001</v>
      </c>
      <c r="I31">
        <v>12.78</v>
      </c>
      <c r="J31">
        <v>3.0928</v>
      </c>
      <c r="K31">
        <v>33</v>
      </c>
      <c r="L31">
        <f t="shared" si="1"/>
        <v>1.4649320000000001</v>
      </c>
      <c r="O31">
        <v>2.4994480000000001</v>
      </c>
      <c r="P31">
        <v>26.492999999999999</v>
      </c>
      <c r="Q31">
        <v>1.3008999999999999</v>
      </c>
      <c r="R31">
        <v>33</v>
      </c>
      <c r="S31">
        <f t="shared" si="2"/>
        <v>1.4994480000000001</v>
      </c>
      <c r="U31">
        <v>2.4930970000000001</v>
      </c>
      <c r="V31">
        <v>29.878</v>
      </c>
      <c r="W31">
        <v>1.5122</v>
      </c>
      <c r="X31">
        <v>33</v>
      </c>
      <c r="Y31">
        <f t="shared" si="3"/>
        <v>1.4930970000000001</v>
      </c>
    </row>
    <row r="32" spans="2:25" x14ac:dyDescent="0.2">
      <c r="B32">
        <v>2.5720519999999998</v>
      </c>
      <c r="C32">
        <v>11.705</v>
      </c>
      <c r="D32">
        <v>2.5375000000000001</v>
      </c>
      <c r="E32">
        <v>33</v>
      </c>
      <c r="F32">
        <f t="shared" si="0"/>
        <v>1.5720519999999998</v>
      </c>
      <c r="H32">
        <v>2.5726239999999998</v>
      </c>
      <c r="I32">
        <v>12.881</v>
      </c>
      <c r="J32">
        <v>3.2574999999999998</v>
      </c>
      <c r="K32">
        <v>33</v>
      </c>
      <c r="L32">
        <f t="shared" si="1"/>
        <v>1.5726239999999998</v>
      </c>
      <c r="O32">
        <v>2.615386</v>
      </c>
      <c r="P32">
        <v>26.417000000000002</v>
      </c>
      <c r="Q32">
        <v>1.2816000000000001</v>
      </c>
      <c r="R32">
        <v>33</v>
      </c>
      <c r="S32">
        <f t="shared" si="2"/>
        <v>1.615386</v>
      </c>
      <c r="U32">
        <v>2.5685120000000001</v>
      </c>
      <c r="V32">
        <v>29.670999999999999</v>
      </c>
      <c r="W32">
        <v>1.5014000000000001</v>
      </c>
      <c r="X32">
        <v>33</v>
      </c>
      <c r="Y32">
        <f t="shared" si="3"/>
        <v>1.5685120000000001</v>
      </c>
    </row>
    <row r="33" spans="2:25" x14ac:dyDescent="0.2">
      <c r="B33">
        <v>2.6778379999999999</v>
      </c>
      <c r="C33">
        <v>11.775</v>
      </c>
      <c r="D33">
        <v>2.8454000000000002</v>
      </c>
      <c r="E33">
        <v>33</v>
      </c>
      <c r="F33">
        <f t="shared" si="0"/>
        <v>1.6778379999999999</v>
      </c>
      <c r="H33">
        <v>2.6499459999999999</v>
      </c>
      <c r="I33">
        <v>12.894</v>
      </c>
      <c r="J33">
        <v>3.1379000000000001</v>
      </c>
      <c r="K33">
        <v>33</v>
      </c>
      <c r="L33">
        <f t="shared" si="1"/>
        <v>1.6499459999999999</v>
      </c>
      <c r="O33">
        <v>2.6901679999999999</v>
      </c>
      <c r="P33">
        <v>26.288</v>
      </c>
      <c r="Q33">
        <v>1.3088</v>
      </c>
      <c r="R33">
        <v>33</v>
      </c>
      <c r="S33">
        <f t="shared" si="2"/>
        <v>1.6901679999999999</v>
      </c>
      <c r="U33">
        <v>2.6843279999999998</v>
      </c>
      <c r="V33">
        <v>29.645</v>
      </c>
      <c r="W33">
        <v>1.5306999999999999</v>
      </c>
      <c r="X33">
        <v>33</v>
      </c>
      <c r="Y33">
        <f t="shared" si="3"/>
        <v>1.6843279999999998</v>
      </c>
    </row>
    <row r="34" spans="2:25" x14ac:dyDescent="0.2">
      <c r="B34">
        <v>2.75597</v>
      </c>
      <c r="C34">
        <v>11.736000000000001</v>
      </c>
      <c r="D34">
        <v>2.6402999999999999</v>
      </c>
      <c r="E34">
        <v>33</v>
      </c>
      <c r="F34">
        <f t="shared" si="0"/>
        <v>1.75597</v>
      </c>
      <c r="H34">
        <v>2.75787</v>
      </c>
      <c r="I34">
        <v>12.867000000000001</v>
      </c>
      <c r="J34">
        <v>3.0529000000000002</v>
      </c>
      <c r="K34">
        <v>33</v>
      </c>
      <c r="L34">
        <f t="shared" si="1"/>
        <v>1.75787</v>
      </c>
      <c r="O34">
        <v>2.7662819999999999</v>
      </c>
      <c r="P34">
        <v>26.238</v>
      </c>
      <c r="Q34">
        <v>1.2959000000000001</v>
      </c>
      <c r="R34">
        <v>33</v>
      </c>
      <c r="S34">
        <f t="shared" si="2"/>
        <v>1.7662819999999999</v>
      </c>
      <c r="U34">
        <v>2.760078</v>
      </c>
      <c r="V34">
        <v>29.646000000000001</v>
      </c>
      <c r="W34">
        <v>1.4764999999999999</v>
      </c>
      <c r="X34">
        <v>33</v>
      </c>
      <c r="Y34">
        <f t="shared" si="3"/>
        <v>1.760078</v>
      </c>
    </row>
    <row r="35" spans="2:25" x14ac:dyDescent="0.2">
      <c r="B35">
        <v>2.8639329999999998</v>
      </c>
      <c r="C35">
        <v>11.676</v>
      </c>
      <c r="D35">
        <v>2.9379</v>
      </c>
      <c r="E35">
        <v>33</v>
      </c>
      <c r="F35">
        <f t="shared" si="0"/>
        <v>1.8639329999999998</v>
      </c>
      <c r="H35">
        <v>2.8352270000000002</v>
      </c>
      <c r="I35">
        <v>12.938000000000001</v>
      </c>
      <c r="J35">
        <v>3.1882000000000001</v>
      </c>
      <c r="K35">
        <v>33</v>
      </c>
      <c r="L35">
        <f t="shared" si="1"/>
        <v>1.8352270000000002</v>
      </c>
      <c r="O35">
        <v>2.8828330000000002</v>
      </c>
      <c r="P35">
        <v>26.294</v>
      </c>
      <c r="Q35">
        <v>1.2755000000000001</v>
      </c>
      <c r="R35">
        <v>33</v>
      </c>
      <c r="S35">
        <f t="shared" si="2"/>
        <v>1.8828330000000002</v>
      </c>
      <c r="U35">
        <v>2.835858</v>
      </c>
      <c r="V35">
        <v>29.739000000000001</v>
      </c>
      <c r="W35">
        <v>1.4987999999999999</v>
      </c>
      <c r="X35">
        <v>33</v>
      </c>
      <c r="Y35">
        <f t="shared" si="3"/>
        <v>1.835858</v>
      </c>
    </row>
    <row r="36" spans="2:25" x14ac:dyDescent="0.2">
      <c r="B36">
        <v>2.9426160000000001</v>
      </c>
      <c r="C36">
        <v>11.632999999999999</v>
      </c>
      <c r="D36">
        <v>2.5817000000000001</v>
      </c>
      <c r="E36">
        <v>33</v>
      </c>
      <c r="F36">
        <f t="shared" si="0"/>
        <v>1.9426160000000001</v>
      </c>
      <c r="H36">
        <v>2.9429340000000002</v>
      </c>
      <c r="I36">
        <v>12.903</v>
      </c>
      <c r="J36">
        <v>2.9931000000000001</v>
      </c>
      <c r="K36">
        <v>33</v>
      </c>
      <c r="L36">
        <f t="shared" si="1"/>
        <v>1.9429340000000002</v>
      </c>
      <c r="O36">
        <v>2.9588899999999998</v>
      </c>
      <c r="P36">
        <v>26.262</v>
      </c>
      <c r="Q36">
        <v>1.306</v>
      </c>
      <c r="R36">
        <v>33</v>
      </c>
      <c r="S36">
        <f t="shared" si="2"/>
        <v>1.9588899999999998</v>
      </c>
      <c r="U36">
        <v>2.951168</v>
      </c>
      <c r="V36">
        <v>29.803999999999998</v>
      </c>
      <c r="W36">
        <v>1.4810000000000001</v>
      </c>
      <c r="X36">
        <v>33</v>
      </c>
      <c r="Y36">
        <f t="shared" si="3"/>
        <v>1.951168</v>
      </c>
    </row>
    <row r="37" spans="2:25" x14ac:dyDescent="0.2">
      <c r="B37">
        <v>3.0506039999999999</v>
      </c>
      <c r="C37">
        <v>11.664999999999999</v>
      </c>
      <c r="D37">
        <v>2.9209000000000001</v>
      </c>
      <c r="E37">
        <v>33</v>
      </c>
      <c r="F37">
        <f t="shared" si="0"/>
        <v>2.0506039999999999</v>
      </c>
      <c r="H37">
        <v>3.0206300000000001</v>
      </c>
      <c r="I37">
        <v>12.874000000000001</v>
      </c>
      <c r="J37">
        <v>2.9512999999999998</v>
      </c>
      <c r="K37">
        <v>33</v>
      </c>
      <c r="L37">
        <f t="shared" si="1"/>
        <v>2.0206300000000001</v>
      </c>
      <c r="O37">
        <v>3.0748099999999998</v>
      </c>
      <c r="P37">
        <v>26.28</v>
      </c>
      <c r="Q37">
        <v>1.2677</v>
      </c>
      <c r="R37">
        <v>33</v>
      </c>
      <c r="S37">
        <f t="shared" si="2"/>
        <v>2.0748099999999998</v>
      </c>
      <c r="U37">
        <v>3.027253</v>
      </c>
      <c r="V37">
        <v>29.803999999999998</v>
      </c>
      <c r="W37">
        <v>1.4851000000000001</v>
      </c>
      <c r="X37">
        <v>33</v>
      </c>
      <c r="Y37">
        <f t="shared" si="3"/>
        <v>2.027253</v>
      </c>
    </row>
    <row r="38" spans="2:25" x14ac:dyDescent="0.2">
      <c r="B38">
        <v>3.129448</v>
      </c>
      <c r="C38">
        <v>11.695</v>
      </c>
      <c r="D38">
        <v>2.9851999999999999</v>
      </c>
      <c r="E38">
        <v>33</v>
      </c>
      <c r="F38">
        <f t="shared" si="0"/>
        <v>2.129448</v>
      </c>
      <c r="H38">
        <v>3.1302249999999998</v>
      </c>
      <c r="I38">
        <v>12.938000000000001</v>
      </c>
      <c r="J38">
        <v>3.2829999999999999</v>
      </c>
      <c r="K38">
        <v>33</v>
      </c>
      <c r="L38">
        <f t="shared" si="1"/>
        <v>2.1302249999999998</v>
      </c>
      <c r="O38">
        <v>3.1503839999999999</v>
      </c>
      <c r="P38">
        <v>26.225999999999999</v>
      </c>
      <c r="Q38">
        <v>1.2942</v>
      </c>
      <c r="R38">
        <v>33</v>
      </c>
      <c r="S38">
        <f t="shared" si="2"/>
        <v>2.1503839999999999</v>
      </c>
      <c r="U38">
        <v>3.14208</v>
      </c>
      <c r="V38">
        <v>29.876999999999999</v>
      </c>
      <c r="W38">
        <v>1.4873000000000001</v>
      </c>
      <c r="X38">
        <v>33</v>
      </c>
      <c r="Y38">
        <f t="shared" si="3"/>
        <v>2.14208</v>
      </c>
    </row>
    <row r="39" spans="2:25" x14ac:dyDescent="0.2">
      <c r="B39">
        <v>3.2363</v>
      </c>
      <c r="C39">
        <v>11.682</v>
      </c>
      <c r="D39">
        <v>2.9036</v>
      </c>
      <c r="E39">
        <v>33</v>
      </c>
      <c r="F39">
        <f t="shared" si="0"/>
        <v>2.2363</v>
      </c>
      <c r="H39">
        <v>3.207821</v>
      </c>
      <c r="I39">
        <v>12.925000000000001</v>
      </c>
      <c r="J39">
        <v>3.1048</v>
      </c>
      <c r="K39">
        <v>33</v>
      </c>
      <c r="L39">
        <f t="shared" si="1"/>
        <v>2.207821</v>
      </c>
      <c r="O39">
        <v>3.2259639999999998</v>
      </c>
      <c r="P39">
        <v>26.146000000000001</v>
      </c>
      <c r="Q39">
        <v>1.2542</v>
      </c>
      <c r="R39">
        <v>33</v>
      </c>
      <c r="S39">
        <f t="shared" si="2"/>
        <v>2.2259639999999998</v>
      </c>
      <c r="U39">
        <v>3.2171959999999999</v>
      </c>
      <c r="V39">
        <v>29.815999999999999</v>
      </c>
      <c r="W39">
        <v>1.5122</v>
      </c>
      <c r="X39">
        <v>33</v>
      </c>
      <c r="Y39">
        <f t="shared" si="3"/>
        <v>2.2171959999999999</v>
      </c>
    </row>
    <row r="40" spans="2:25" x14ac:dyDescent="0.2">
      <c r="B40">
        <v>3.3143379999999998</v>
      </c>
      <c r="C40">
        <v>11.685</v>
      </c>
      <c r="D40">
        <v>2.6623000000000001</v>
      </c>
      <c r="E40">
        <v>33</v>
      </c>
      <c r="F40">
        <f t="shared" si="0"/>
        <v>2.3143379999999998</v>
      </c>
      <c r="H40">
        <v>3.3161849999999999</v>
      </c>
      <c r="I40">
        <v>12.86</v>
      </c>
      <c r="J40">
        <v>3.2786</v>
      </c>
      <c r="K40">
        <v>33</v>
      </c>
      <c r="L40">
        <f t="shared" si="1"/>
        <v>2.3161849999999999</v>
      </c>
      <c r="O40">
        <v>3.340751</v>
      </c>
      <c r="P40">
        <v>26.132000000000001</v>
      </c>
      <c r="Q40">
        <v>1.3090999999999999</v>
      </c>
      <c r="R40">
        <v>33</v>
      </c>
      <c r="S40">
        <f t="shared" si="2"/>
        <v>2.340751</v>
      </c>
      <c r="U40">
        <v>3.3206039999999999</v>
      </c>
      <c r="V40">
        <v>29.625</v>
      </c>
      <c r="W40">
        <v>1.5425</v>
      </c>
      <c r="X40">
        <v>33</v>
      </c>
      <c r="Y40">
        <f t="shared" si="3"/>
        <v>2.3206039999999999</v>
      </c>
    </row>
    <row r="41" spans="2:25" x14ac:dyDescent="0.2">
      <c r="B41">
        <v>3.4040349999999999</v>
      </c>
      <c r="C41">
        <v>11.679</v>
      </c>
      <c r="D41">
        <v>2.7730000000000001</v>
      </c>
      <c r="E41">
        <v>33</v>
      </c>
      <c r="F41">
        <f t="shared" si="0"/>
        <v>2.4040349999999999</v>
      </c>
      <c r="H41">
        <v>3.3936220000000001</v>
      </c>
      <c r="I41">
        <v>12.877000000000001</v>
      </c>
      <c r="J41">
        <v>3.0495000000000001</v>
      </c>
      <c r="K41">
        <v>33</v>
      </c>
      <c r="L41">
        <f t="shared" si="1"/>
        <v>2.3936220000000001</v>
      </c>
      <c r="O41">
        <v>3.4160699999999999</v>
      </c>
      <c r="P41">
        <v>26.091999999999999</v>
      </c>
      <c r="Q41">
        <v>1.2622</v>
      </c>
      <c r="R41">
        <v>33</v>
      </c>
      <c r="S41">
        <f t="shared" si="2"/>
        <v>2.4160699999999999</v>
      </c>
      <c r="U41">
        <v>3.3917220000000001</v>
      </c>
      <c r="V41">
        <v>29.475000000000001</v>
      </c>
      <c r="W41">
        <v>1.506</v>
      </c>
      <c r="X41">
        <v>33</v>
      </c>
      <c r="Y41">
        <f t="shared" si="3"/>
        <v>2.3917220000000001</v>
      </c>
    </row>
    <row r="42" spans="2:25" x14ac:dyDescent="0.2">
      <c r="B42">
        <v>3.4826549999999998</v>
      </c>
      <c r="C42">
        <v>11.669</v>
      </c>
      <c r="D42">
        <v>2.5781000000000001</v>
      </c>
      <c r="E42">
        <v>33</v>
      </c>
      <c r="F42">
        <f t="shared" si="0"/>
        <v>2.4826549999999998</v>
      </c>
      <c r="H42">
        <v>3.5021689999999999</v>
      </c>
      <c r="I42">
        <v>12.861000000000001</v>
      </c>
      <c r="J42">
        <v>2.9706000000000001</v>
      </c>
      <c r="K42">
        <v>33</v>
      </c>
      <c r="L42">
        <f t="shared" si="1"/>
        <v>2.5021689999999999</v>
      </c>
      <c r="O42">
        <v>3.5329199999999998</v>
      </c>
      <c r="P42">
        <v>26.117000000000001</v>
      </c>
      <c r="Q42">
        <v>1.3015000000000001</v>
      </c>
      <c r="R42">
        <v>33</v>
      </c>
      <c r="S42">
        <f t="shared" si="2"/>
        <v>2.5329199999999998</v>
      </c>
      <c r="U42">
        <v>3.5076559999999999</v>
      </c>
      <c r="V42">
        <v>29.45</v>
      </c>
      <c r="W42">
        <v>1.5326</v>
      </c>
      <c r="X42">
        <v>33</v>
      </c>
      <c r="Y42">
        <f t="shared" si="3"/>
        <v>2.5076559999999999</v>
      </c>
    </row>
    <row r="43" spans="2:25" x14ac:dyDescent="0.2">
      <c r="B43">
        <v>3.5913750000000002</v>
      </c>
      <c r="C43">
        <v>11.646000000000001</v>
      </c>
      <c r="D43">
        <v>2.6911999999999998</v>
      </c>
      <c r="E43">
        <v>33</v>
      </c>
      <c r="F43">
        <f t="shared" si="0"/>
        <v>2.5913750000000002</v>
      </c>
      <c r="H43">
        <v>3.581251</v>
      </c>
      <c r="I43">
        <v>12.942</v>
      </c>
      <c r="J43">
        <v>2.9136000000000002</v>
      </c>
      <c r="K43">
        <v>33</v>
      </c>
      <c r="L43">
        <f t="shared" si="1"/>
        <v>2.581251</v>
      </c>
      <c r="O43">
        <v>3.6085959999999999</v>
      </c>
      <c r="P43">
        <v>26.087</v>
      </c>
      <c r="Q43">
        <v>1.2603</v>
      </c>
      <c r="R43">
        <v>33</v>
      </c>
      <c r="S43">
        <f t="shared" si="2"/>
        <v>2.6085959999999999</v>
      </c>
      <c r="U43">
        <v>3.5845889999999998</v>
      </c>
      <c r="V43">
        <v>29.475000000000001</v>
      </c>
      <c r="W43">
        <v>1.5214000000000001</v>
      </c>
      <c r="X43">
        <v>33</v>
      </c>
      <c r="Y43">
        <f t="shared" si="3"/>
        <v>2.5845889999999998</v>
      </c>
    </row>
    <row r="44" spans="2:25" x14ac:dyDescent="0.2">
      <c r="B44">
        <v>3.6702870000000001</v>
      </c>
      <c r="C44">
        <v>11.683</v>
      </c>
      <c r="D44">
        <v>3.1955</v>
      </c>
      <c r="E44">
        <v>33</v>
      </c>
      <c r="F44">
        <f t="shared" si="0"/>
        <v>2.6702870000000001</v>
      </c>
      <c r="H44">
        <v>3.6888860000000001</v>
      </c>
      <c r="I44">
        <v>12.981999999999999</v>
      </c>
      <c r="J44">
        <v>3.2090999999999998</v>
      </c>
      <c r="K44">
        <v>33</v>
      </c>
      <c r="L44">
        <f t="shared" si="1"/>
        <v>2.6888860000000001</v>
      </c>
      <c r="O44">
        <v>3.6854520000000002</v>
      </c>
      <c r="P44">
        <v>25.975999999999999</v>
      </c>
      <c r="Q44">
        <v>1.2846</v>
      </c>
      <c r="R44">
        <v>33</v>
      </c>
      <c r="S44">
        <f t="shared" si="2"/>
        <v>2.6854520000000002</v>
      </c>
      <c r="U44">
        <v>3.6613850000000001</v>
      </c>
      <c r="V44">
        <v>29.491</v>
      </c>
      <c r="W44">
        <v>1.5369999999999999</v>
      </c>
      <c r="X44">
        <v>33</v>
      </c>
      <c r="Y44">
        <f t="shared" si="3"/>
        <v>2.6613850000000001</v>
      </c>
    </row>
    <row r="45" spans="2:25" x14ac:dyDescent="0.2">
      <c r="B45">
        <v>3.7790020000000002</v>
      </c>
      <c r="C45">
        <v>11.744</v>
      </c>
      <c r="D45">
        <v>2.8157000000000001</v>
      </c>
      <c r="E45">
        <v>33</v>
      </c>
      <c r="F45">
        <f t="shared" si="0"/>
        <v>2.7790020000000002</v>
      </c>
      <c r="H45">
        <v>3.7693400000000001</v>
      </c>
      <c r="I45">
        <v>12.99</v>
      </c>
      <c r="J45">
        <v>3.3405999999999998</v>
      </c>
      <c r="K45">
        <v>33</v>
      </c>
      <c r="L45">
        <f t="shared" si="1"/>
        <v>2.7693400000000001</v>
      </c>
      <c r="O45">
        <v>3.80287</v>
      </c>
      <c r="P45">
        <v>26.024000000000001</v>
      </c>
      <c r="Q45">
        <v>1.2721</v>
      </c>
      <c r="R45">
        <v>33</v>
      </c>
      <c r="S45">
        <f t="shared" si="2"/>
        <v>2.80287</v>
      </c>
      <c r="U45">
        <v>3.7782279999999999</v>
      </c>
      <c r="V45">
        <v>29.416</v>
      </c>
      <c r="W45">
        <v>1.5404</v>
      </c>
      <c r="X45">
        <v>33</v>
      </c>
      <c r="Y45">
        <f t="shared" si="3"/>
        <v>2.7782279999999999</v>
      </c>
    </row>
    <row r="46" spans="2:25" x14ac:dyDescent="0.2">
      <c r="B46">
        <v>3.8576510000000002</v>
      </c>
      <c r="C46">
        <v>11.797000000000001</v>
      </c>
      <c r="D46">
        <v>3.0268999999999999</v>
      </c>
      <c r="E46">
        <v>33</v>
      </c>
      <c r="F46">
        <f t="shared" si="0"/>
        <v>2.8576510000000002</v>
      </c>
      <c r="H46">
        <v>3.8780929999999998</v>
      </c>
      <c r="I46">
        <v>12.951000000000001</v>
      </c>
      <c r="J46">
        <v>3.2450999999999999</v>
      </c>
      <c r="K46">
        <v>33</v>
      </c>
      <c r="L46">
        <f t="shared" si="1"/>
        <v>2.8780929999999998</v>
      </c>
      <c r="O46">
        <v>3.8803899999999998</v>
      </c>
      <c r="P46">
        <v>25.994</v>
      </c>
      <c r="Q46">
        <v>1.2739</v>
      </c>
      <c r="R46">
        <v>33</v>
      </c>
      <c r="S46">
        <f t="shared" si="2"/>
        <v>2.8803899999999998</v>
      </c>
      <c r="U46">
        <v>3.8548789999999999</v>
      </c>
      <c r="V46">
        <v>29.332999999999998</v>
      </c>
      <c r="W46">
        <v>1.5022</v>
      </c>
      <c r="X46">
        <v>33</v>
      </c>
      <c r="Y46">
        <f t="shared" si="3"/>
        <v>2.8548789999999999</v>
      </c>
    </row>
    <row r="47" spans="2:25" x14ac:dyDescent="0.2">
      <c r="B47">
        <v>3.9641120000000001</v>
      </c>
      <c r="C47">
        <v>11.824</v>
      </c>
      <c r="D47">
        <v>2.8582000000000001</v>
      </c>
      <c r="E47">
        <v>33</v>
      </c>
      <c r="F47">
        <f t="shared" si="0"/>
        <v>2.9641120000000001</v>
      </c>
      <c r="H47">
        <v>3.9557190000000002</v>
      </c>
      <c r="I47">
        <v>12.901999999999999</v>
      </c>
      <c r="J47">
        <v>2.9264999999999999</v>
      </c>
      <c r="K47">
        <v>33</v>
      </c>
      <c r="L47">
        <f t="shared" si="1"/>
        <v>2.9557190000000002</v>
      </c>
      <c r="O47">
        <v>3.9963860000000002</v>
      </c>
      <c r="P47">
        <v>25.905000000000001</v>
      </c>
      <c r="Q47">
        <v>1.3049999999999999</v>
      </c>
      <c r="R47">
        <v>33</v>
      </c>
      <c r="S47">
        <f t="shared" si="2"/>
        <v>2.9963860000000002</v>
      </c>
      <c r="U47">
        <v>3.969814</v>
      </c>
      <c r="V47">
        <v>29.210999999999999</v>
      </c>
      <c r="W47">
        <v>1.5112000000000001</v>
      </c>
      <c r="X47">
        <v>33</v>
      </c>
      <c r="Y47">
        <f t="shared" si="3"/>
        <v>2.969814</v>
      </c>
    </row>
    <row r="48" spans="2:25" x14ac:dyDescent="0.2">
      <c r="B48">
        <v>4.042052</v>
      </c>
      <c r="C48">
        <v>11.71</v>
      </c>
      <c r="D48">
        <v>2.9748000000000001</v>
      </c>
      <c r="E48">
        <v>33</v>
      </c>
      <c r="F48">
        <f t="shared" si="0"/>
        <v>3.042052</v>
      </c>
      <c r="H48">
        <v>4.0644150000000003</v>
      </c>
      <c r="I48">
        <v>12.891999999999999</v>
      </c>
      <c r="J48">
        <v>3.0463</v>
      </c>
      <c r="K48">
        <v>33</v>
      </c>
      <c r="L48">
        <f t="shared" si="1"/>
        <v>3.0644150000000003</v>
      </c>
      <c r="O48">
        <v>4.0728299999999997</v>
      </c>
      <c r="P48">
        <v>25.814</v>
      </c>
      <c r="Q48">
        <v>1.2447999999999999</v>
      </c>
      <c r="R48">
        <v>33</v>
      </c>
      <c r="S48">
        <f t="shared" si="2"/>
        <v>3.0728299999999997</v>
      </c>
      <c r="U48">
        <v>4.0461320000000001</v>
      </c>
      <c r="V48">
        <v>29.213999999999999</v>
      </c>
      <c r="W48">
        <v>1.5138</v>
      </c>
      <c r="X48">
        <v>33</v>
      </c>
      <c r="Y48">
        <f t="shared" si="3"/>
        <v>3.0461320000000001</v>
      </c>
    </row>
    <row r="49" spans="2:25" x14ac:dyDescent="0.2">
      <c r="B49">
        <v>4.1500620000000001</v>
      </c>
      <c r="C49">
        <v>11.724</v>
      </c>
      <c r="D49">
        <v>2.5438000000000001</v>
      </c>
      <c r="E49">
        <v>66</v>
      </c>
      <c r="F49">
        <f t="shared" si="0"/>
        <v>3.1500620000000001</v>
      </c>
      <c r="H49">
        <v>4.1422470000000002</v>
      </c>
      <c r="I49">
        <v>12.9</v>
      </c>
      <c r="J49">
        <v>3.1076000000000001</v>
      </c>
      <c r="K49">
        <v>66</v>
      </c>
      <c r="L49">
        <f t="shared" si="1"/>
        <v>3.1422470000000002</v>
      </c>
      <c r="O49">
        <v>4.1493359999999999</v>
      </c>
      <c r="P49">
        <v>25.847000000000001</v>
      </c>
      <c r="Q49">
        <v>1.2504</v>
      </c>
      <c r="R49">
        <v>66</v>
      </c>
      <c r="S49">
        <f t="shared" si="2"/>
        <v>3.1493359999999999</v>
      </c>
      <c r="U49">
        <v>4.1223729999999996</v>
      </c>
      <c r="V49">
        <v>29.282</v>
      </c>
      <c r="W49">
        <v>1.5138</v>
      </c>
      <c r="X49">
        <v>66</v>
      </c>
      <c r="Y49">
        <f t="shared" si="3"/>
        <v>3.1223729999999996</v>
      </c>
    </row>
    <row r="50" spans="2:25" x14ac:dyDescent="0.2">
      <c r="B50">
        <v>4.2364509999999997</v>
      </c>
      <c r="C50">
        <v>11.712999999999999</v>
      </c>
      <c r="D50">
        <v>2.016</v>
      </c>
      <c r="E50">
        <v>66</v>
      </c>
      <c r="F50">
        <f t="shared" si="0"/>
        <v>3.2364509999999997</v>
      </c>
      <c r="H50">
        <v>4.2055850000000001</v>
      </c>
      <c r="I50">
        <v>12.946999999999999</v>
      </c>
      <c r="J50">
        <v>2.9990000000000001</v>
      </c>
      <c r="K50">
        <v>66</v>
      </c>
      <c r="L50">
        <f t="shared" si="1"/>
        <v>3.2055850000000001</v>
      </c>
      <c r="O50">
        <v>4.2657790000000002</v>
      </c>
      <c r="P50">
        <v>25.907</v>
      </c>
      <c r="Q50">
        <v>1.3180000000000001</v>
      </c>
      <c r="R50">
        <v>66</v>
      </c>
      <c r="S50">
        <f t="shared" si="2"/>
        <v>3.2657790000000002</v>
      </c>
      <c r="U50">
        <v>4.2466939999999997</v>
      </c>
      <c r="V50">
        <v>29.303000000000001</v>
      </c>
      <c r="W50">
        <v>0.55579999999999996</v>
      </c>
      <c r="X50">
        <v>66</v>
      </c>
      <c r="Y50">
        <f t="shared" si="3"/>
        <v>3.2466939999999997</v>
      </c>
    </row>
    <row r="51" spans="2:25" x14ac:dyDescent="0.2">
      <c r="B51">
        <v>4.3435560000000004</v>
      </c>
      <c r="C51">
        <v>12.08</v>
      </c>
      <c r="D51">
        <v>0.90600000000000003</v>
      </c>
      <c r="E51">
        <v>66</v>
      </c>
      <c r="F51">
        <f t="shared" si="0"/>
        <v>3.3435560000000004</v>
      </c>
      <c r="H51">
        <v>4.32186</v>
      </c>
      <c r="I51">
        <v>13.16</v>
      </c>
      <c r="J51">
        <v>0.91539999999999999</v>
      </c>
      <c r="K51">
        <v>66</v>
      </c>
      <c r="L51">
        <f t="shared" si="1"/>
        <v>3.32186</v>
      </c>
      <c r="O51">
        <v>4.3504050000000003</v>
      </c>
      <c r="P51">
        <v>26.007999999999999</v>
      </c>
      <c r="Q51">
        <v>0.51759999999999995</v>
      </c>
      <c r="R51">
        <v>66</v>
      </c>
      <c r="S51">
        <f t="shared" si="2"/>
        <v>3.3504050000000003</v>
      </c>
      <c r="U51">
        <v>4.3223140000000004</v>
      </c>
      <c r="V51">
        <v>29.728000000000002</v>
      </c>
      <c r="W51">
        <v>0.62580000000000002</v>
      </c>
      <c r="X51">
        <v>66</v>
      </c>
      <c r="Y51">
        <f t="shared" si="3"/>
        <v>3.3223140000000004</v>
      </c>
    </row>
    <row r="52" spans="2:25" x14ac:dyDescent="0.2">
      <c r="B52">
        <v>4.4327949999999996</v>
      </c>
      <c r="C52">
        <v>19.178000000000001</v>
      </c>
      <c r="D52">
        <v>1.5615000000000001</v>
      </c>
      <c r="E52">
        <v>66</v>
      </c>
      <c r="F52">
        <f t="shared" si="0"/>
        <v>3.4327949999999996</v>
      </c>
      <c r="H52">
        <v>4.3997580000000003</v>
      </c>
      <c r="I52">
        <v>19.658000000000001</v>
      </c>
      <c r="J52">
        <v>1.575</v>
      </c>
      <c r="K52">
        <v>66</v>
      </c>
      <c r="L52">
        <f t="shared" si="1"/>
        <v>3.3997580000000003</v>
      </c>
      <c r="O52">
        <v>4.4264549999999998</v>
      </c>
      <c r="P52">
        <v>28.044</v>
      </c>
      <c r="Q52">
        <v>0.57779999999999998</v>
      </c>
      <c r="R52">
        <v>66</v>
      </c>
      <c r="S52">
        <f t="shared" si="2"/>
        <v>3.4264549999999998</v>
      </c>
      <c r="U52">
        <v>4.413246</v>
      </c>
      <c r="V52">
        <v>36.326999999999998</v>
      </c>
      <c r="W52">
        <v>0.7823</v>
      </c>
      <c r="X52">
        <v>66</v>
      </c>
      <c r="Y52">
        <f t="shared" si="3"/>
        <v>3.413246</v>
      </c>
    </row>
    <row r="53" spans="2:25" x14ac:dyDescent="0.2">
      <c r="B53">
        <v>4.4985879999999998</v>
      </c>
      <c r="C53">
        <v>31.869</v>
      </c>
      <c r="D53">
        <v>2.5348999999999999</v>
      </c>
      <c r="E53">
        <v>66</v>
      </c>
      <c r="F53">
        <f t="shared" si="0"/>
        <v>3.4985879999999998</v>
      </c>
      <c r="H53">
        <v>4.5143380000000004</v>
      </c>
      <c r="I53">
        <v>34.445</v>
      </c>
      <c r="J53">
        <v>2.6953</v>
      </c>
      <c r="K53">
        <v>66</v>
      </c>
      <c r="L53">
        <f t="shared" si="1"/>
        <v>3.5143380000000004</v>
      </c>
      <c r="O53">
        <v>4.5172299999999996</v>
      </c>
      <c r="P53">
        <v>38.372</v>
      </c>
      <c r="Q53">
        <v>0.81799999999999995</v>
      </c>
      <c r="R53">
        <v>66</v>
      </c>
      <c r="S53">
        <f t="shared" si="2"/>
        <v>3.5172299999999996</v>
      </c>
      <c r="U53">
        <v>4.4904520000000003</v>
      </c>
      <c r="V53">
        <v>48.92</v>
      </c>
      <c r="W53">
        <v>1.0568</v>
      </c>
      <c r="X53">
        <v>66</v>
      </c>
      <c r="Y53">
        <f t="shared" si="3"/>
        <v>3.4904520000000003</v>
      </c>
    </row>
    <row r="54" spans="2:25" x14ac:dyDescent="0.2">
      <c r="B54">
        <v>4.6166989999999997</v>
      </c>
      <c r="C54">
        <v>35.777999999999999</v>
      </c>
      <c r="D54">
        <v>2.7704</v>
      </c>
      <c r="E54">
        <v>66</v>
      </c>
      <c r="F54">
        <f t="shared" si="0"/>
        <v>3.6166989999999997</v>
      </c>
      <c r="H54">
        <v>4.6040859999999997</v>
      </c>
      <c r="I54">
        <v>40.579000000000001</v>
      </c>
      <c r="J54">
        <v>3.0836000000000001</v>
      </c>
      <c r="K54">
        <v>66</v>
      </c>
      <c r="L54">
        <f t="shared" si="1"/>
        <v>3.6040859999999997</v>
      </c>
      <c r="O54">
        <v>4.6342460000000001</v>
      </c>
      <c r="P54">
        <v>46.447000000000003</v>
      </c>
      <c r="Q54">
        <v>0.99139999999999995</v>
      </c>
      <c r="R54">
        <v>66</v>
      </c>
      <c r="S54">
        <f t="shared" si="2"/>
        <v>3.6342460000000001</v>
      </c>
      <c r="U54">
        <v>4.6072170000000003</v>
      </c>
      <c r="V54">
        <v>54.11</v>
      </c>
      <c r="W54">
        <v>1.1543000000000001</v>
      </c>
      <c r="X54">
        <v>66</v>
      </c>
      <c r="Y54">
        <f t="shared" si="3"/>
        <v>3.6072170000000003</v>
      </c>
    </row>
    <row r="55" spans="2:25" x14ac:dyDescent="0.2">
      <c r="B55">
        <v>4.7054020000000003</v>
      </c>
      <c r="C55">
        <v>36.090000000000003</v>
      </c>
      <c r="D55">
        <v>2.9986999999999999</v>
      </c>
      <c r="E55">
        <v>66</v>
      </c>
      <c r="F55">
        <f t="shared" si="0"/>
        <v>3.7054020000000003</v>
      </c>
      <c r="H55">
        <v>4.6706120000000002</v>
      </c>
      <c r="I55">
        <v>41.280999999999999</v>
      </c>
      <c r="J55">
        <v>3.2867999999999999</v>
      </c>
      <c r="K55">
        <v>66</v>
      </c>
      <c r="L55">
        <f t="shared" si="1"/>
        <v>3.6706120000000002</v>
      </c>
      <c r="O55">
        <v>4.7116470000000001</v>
      </c>
      <c r="P55">
        <v>47.968000000000004</v>
      </c>
      <c r="Q55">
        <v>1.0172000000000001</v>
      </c>
      <c r="R55">
        <v>66</v>
      </c>
      <c r="S55">
        <f t="shared" si="2"/>
        <v>3.7116470000000001</v>
      </c>
      <c r="U55">
        <v>4.678579</v>
      </c>
      <c r="V55">
        <v>54.795999999999999</v>
      </c>
      <c r="W55">
        <v>1.1936</v>
      </c>
      <c r="X55">
        <v>66</v>
      </c>
      <c r="Y55">
        <f t="shared" si="3"/>
        <v>3.678579</v>
      </c>
    </row>
    <row r="56" spans="2:25" x14ac:dyDescent="0.2">
      <c r="B56">
        <v>4.7683400000000002</v>
      </c>
      <c r="C56">
        <v>36.012</v>
      </c>
      <c r="D56">
        <v>2.9018999999999999</v>
      </c>
      <c r="E56">
        <v>66</v>
      </c>
      <c r="F56">
        <f t="shared" si="0"/>
        <v>3.7683400000000002</v>
      </c>
      <c r="H56">
        <v>4.7919299999999998</v>
      </c>
      <c r="I56">
        <v>41.372</v>
      </c>
      <c r="J56">
        <v>3.3346</v>
      </c>
      <c r="K56">
        <v>66</v>
      </c>
      <c r="L56">
        <f t="shared" si="1"/>
        <v>3.7919299999999998</v>
      </c>
      <c r="O56">
        <v>4.7878749999999997</v>
      </c>
      <c r="P56">
        <v>48.058</v>
      </c>
      <c r="Q56">
        <v>0.98729999999999996</v>
      </c>
      <c r="R56">
        <v>66</v>
      </c>
      <c r="S56">
        <f t="shared" si="2"/>
        <v>3.7878749999999997</v>
      </c>
      <c r="U56">
        <v>4.7954569999999999</v>
      </c>
      <c r="V56">
        <v>54.731999999999999</v>
      </c>
      <c r="W56">
        <v>1.173</v>
      </c>
      <c r="X56">
        <v>66</v>
      </c>
      <c r="Y56">
        <f t="shared" si="3"/>
        <v>3.7954569999999999</v>
      </c>
    </row>
    <row r="57" spans="2:25" x14ac:dyDescent="0.2">
      <c r="B57">
        <v>4.8750859999999996</v>
      </c>
      <c r="C57">
        <v>36.069000000000003</v>
      </c>
      <c r="D57">
        <v>2.9169</v>
      </c>
      <c r="E57">
        <v>66</v>
      </c>
      <c r="F57">
        <f t="shared" si="0"/>
        <v>3.8750859999999996</v>
      </c>
      <c r="H57">
        <v>4.8705530000000001</v>
      </c>
      <c r="I57">
        <v>41.487000000000002</v>
      </c>
      <c r="J57">
        <v>3.3996</v>
      </c>
      <c r="K57">
        <v>66</v>
      </c>
      <c r="L57">
        <f t="shared" si="1"/>
        <v>3.8705530000000001</v>
      </c>
      <c r="O57">
        <v>4.9056940000000004</v>
      </c>
      <c r="P57">
        <v>48.014000000000003</v>
      </c>
      <c r="Q57">
        <v>0.97750000000000004</v>
      </c>
      <c r="R57">
        <v>66</v>
      </c>
      <c r="S57">
        <f t="shared" si="2"/>
        <v>3.9056940000000004</v>
      </c>
      <c r="U57">
        <v>4.8730739999999999</v>
      </c>
      <c r="V57">
        <v>54.683</v>
      </c>
      <c r="W57">
        <v>1.2068000000000001</v>
      </c>
      <c r="X57">
        <v>66</v>
      </c>
      <c r="Y57">
        <f t="shared" si="3"/>
        <v>3.8730739999999999</v>
      </c>
    </row>
    <row r="58" spans="2:25" x14ac:dyDescent="0.2">
      <c r="B58">
        <v>4.951708</v>
      </c>
      <c r="C58">
        <v>36.012</v>
      </c>
      <c r="D58">
        <v>2.8508</v>
      </c>
      <c r="E58">
        <v>66</v>
      </c>
      <c r="F58">
        <f t="shared" si="0"/>
        <v>3.951708</v>
      </c>
      <c r="H58">
        <v>4.9794939999999999</v>
      </c>
      <c r="I58">
        <v>41.353000000000002</v>
      </c>
      <c r="J58">
        <v>3.2288999999999999</v>
      </c>
      <c r="K58">
        <v>66</v>
      </c>
      <c r="L58">
        <f t="shared" si="1"/>
        <v>3.9794939999999999</v>
      </c>
      <c r="O58">
        <v>4.9826689999999996</v>
      </c>
      <c r="P58">
        <v>47.81</v>
      </c>
      <c r="Q58">
        <v>0.98680000000000001</v>
      </c>
      <c r="R58">
        <v>66</v>
      </c>
      <c r="S58">
        <f t="shared" si="2"/>
        <v>3.9826689999999996</v>
      </c>
      <c r="U58">
        <v>4.9885479999999998</v>
      </c>
      <c r="V58">
        <v>54.534999999999997</v>
      </c>
      <c r="W58">
        <v>1.1755</v>
      </c>
      <c r="X58">
        <v>66</v>
      </c>
      <c r="Y58">
        <f t="shared" si="3"/>
        <v>3.9885479999999998</v>
      </c>
    </row>
    <row r="59" spans="2:25" x14ac:dyDescent="0.2">
      <c r="B59">
        <v>5.05722</v>
      </c>
      <c r="C59">
        <v>35.896999999999998</v>
      </c>
      <c r="D59">
        <v>2.9262999999999999</v>
      </c>
      <c r="E59">
        <v>66</v>
      </c>
      <c r="F59">
        <f t="shared" si="0"/>
        <v>4.05722</v>
      </c>
      <c r="H59">
        <v>5.0578070000000004</v>
      </c>
      <c r="I59">
        <v>41.390999999999998</v>
      </c>
      <c r="J59">
        <v>3.3772000000000002</v>
      </c>
      <c r="K59">
        <v>66</v>
      </c>
      <c r="L59">
        <f t="shared" si="1"/>
        <v>4.0578070000000004</v>
      </c>
      <c r="O59">
        <v>5.0993199999999996</v>
      </c>
      <c r="P59">
        <v>47.841000000000001</v>
      </c>
      <c r="Q59">
        <v>0.99439999999999995</v>
      </c>
      <c r="R59">
        <v>66</v>
      </c>
      <c r="S59">
        <f t="shared" si="2"/>
        <v>4.0993199999999996</v>
      </c>
      <c r="U59">
        <v>5.064425</v>
      </c>
      <c r="V59">
        <v>54.585999999999999</v>
      </c>
      <c r="W59">
        <v>1.1613</v>
      </c>
      <c r="X59">
        <v>66</v>
      </c>
      <c r="Y59">
        <f t="shared" si="3"/>
        <v>4.064425</v>
      </c>
    </row>
    <row r="60" spans="2:25" x14ac:dyDescent="0.2">
      <c r="B60">
        <v>5.1339930000000003</v>
      </c>
      <c r="C60">
        <v>35.841999999999999</v>
      </c>
      <c r="D60">
        <v>2.9388999999999998</v>
      </c>
      <c r="E60">
        <v>66</v>
      </c>
      <c r="F60">
        <f t="shared" si="0"/>
        <v>4.1339930000000003</v>
      </c>
      <c r="H60">
        <v>5.1662949999999999</v>
      </c>
      <c r="I60">
        <v>41.523000000000003</v>
      </c>
      <c r="J60">
        <v>3.1892</v>
      </c>
      <c r="K60">
        <v>66</v>
      </c>
      <c r="L60">
        <f t="shared" si="1"/>
        <v>4.1662949999999999</v>
      </c>
      <c r="O60">
        <v>5.1751519999999998</v>
      </c>
      <c r="P60">
        <v>47.793999999999997</v>
      </c>
      <c r="Q60">
        <v>0.98909999999999998</v>
      </c>
      <c r="R60">
        <v>66</v>
      </c>
      <c r="S60">
        <f t="shared" si="2"/>
        <v>4.1751519999999998</v>
      </c>
      <c r="U60">
        <v>5.1406320000000001</v>
      </c>
      <c r="V60">
        <v>54.670999999999999</v>
      </c>
      <c r="W60">
        <v>1.1631</v>
      </c>
      <c r="X60">
        <v>66</v>
      </c>
      <c r="Y60">
        <f t="shared" si="3"/>
        <v>4.1406320000000001</v>
      </c>
    </row>
    <row r="61" spans="2:25" x14ac:dyDescent="0.2">
      <c r="B61">
        <v>5.2417020000000001</v>
      </c>
      <c r="C61">
        <v>36.024999999999999</v>
      </c>
      <c r="D61">
        <v>2.9946000000000002</v>
      </c>
      <c r="E61">
        <v>66</v>
      </c>
      <c r="F61">
        <f t="shared" si="0"/>
        <v>4.2417020000000001</v>
      </c>
      <c r="H61">
        <v>5.2441740000000001</v>
      </c>
      <c r="I61">
        <v>41.372</v>
      </c>
      <c r="J61">
        <v>3.2158000000000002</v>
      </c>
      <c r="K61">
        <v>66</v>
      </c>
      <c r="L61">
        <f t="shared" si="1"/>
        <v>4.2441740000000001</v>
      </c>
      <c r="O61">
        <v>5.2515179999999999</v>
      </c>
      <c r="P61">
        <v>47.572000000000003</v>
      </c>
      <c r="Q61">
        <v>0.98980000000000001</v>
      </c>
      <c r="R61">
        <v>66</v>
      </c>
      <c r="S61">
        <f t="shared" si="2"/>
        <v>4.2515179999999999</v>
      </c>
      <c r="U61">
        <v>5.2562959999999999</v>
      </c>
      <c r="V61">
        <v>54.606999999999999</v>
      </c>
      <c r="W61">
        <v>1.1607000000000001</v>
      </c>
      <c r="X61">
        <v>66</v>
      </c>
      <c r="Y61">
        <f t="shared" si="3"/>
        <v>4.2562959999999999</v>
      </c>
    </row>
    <row r="62" spans="2:25" x14ac:dyDescent="0.2">
      <c r="B62">
        <v>5.319178</v>
      </c>
      <c r="C62">
        <v>36.033999999999999</v>
      </c>
      <c r="D62">
        <v>2.9721000000000002</v>
      </c>
      <c r="E62">
        <v>66</v>
      </c>
      <c r="F62">
        <f t="shared" si="0"/>
        <v>4.319178</v>
      </c>
      <c r="H62">
        <v>5.3527360000000002</v>
      </c>
      <c r="I62">
        <v>41.213999999999999</v>
      </c>
      <c r="J62">
        <v>3.0731999999999999</v>
      </c>
      <c r="K62">
        <v>66</v>
      </c>
      <c r="L62">
        <f t="shared" si="1"/>
        <v>4.3527360000000002</v>
      </c>
      <c r="O62">
        <v>5.3691579999999997</v>
      </c>
      <c r="P62">
        <v>47.521999999999998</v>
      </c>
      <c r="Q62">
        <v>0.9879</v>
      </c>
      <c r="R62">
        <v>66</v>
      </c>
      <c r="S62">
        <f t="shared" si="2"/>
        <v>4.3691579999999997</v>
      </c>
      <c r="U62">
        <v>5.3329510000000004</v>
      </c>
      <c r="V62">
        <v>54.503</v>
      </c>
      <c r="W62">
        <v>1.1673</v>
      </c>
      <c r="X62">
        <v>66</v>
      </c>
      <c r="Y62">
        <f t="shared" si="3"/>
        <v>4.3329510000000004</v>
      </c>
    </row>
    <row r="63" spans="2:25" x14ac:dyDescent="0.2">
      <c r="B63">
        <v>5.4245190000000001</v>
      </c>
      <c r="C63">
        <v>35.918999999999997</v>
      </c>
      <c r="D63">
        <v>2.802</v>
      </c>
      <c r="E63">
        <v>66</v>
      </c>
      <c r="F63">
        <f t="shared" si="0"/>
        <v>4.4245190000000001</v>
      </c>
      <c r="H63">
        <v>5.430199</v>
      </c>
      <c r="I63">
        <v>41.05</v>
      </c>
      <c r="J63">
        <v>3.3214999999999999</v>
      </c>
      <c r="K63">
        <v>66</v>
      </c>
      <c r="L63">
        <f t="shared" si="1"/>
        <v>4.430199</v>
      </c>
      <c r="O63">
        <v>5.4445230000000002</v>
      </c>
      <c r="P63">
        <v>47.398000000000003</v>
      </c>
      <c r="Q63">
        <v>1.0024</v>
      </c>
      <c r="R63">
        <v>66</v>
      </c>
      <c r="S63">
        <f t="shared" si="2"/>
        <v>4.4445230000000002</v>
      </c>
      <c r="U63">
        <v>5.4485479999999997</v>
      </c>
      <c r="V63">
        <v>54.384</v>
      </c>
      <c r="W63">
        <v>1.1731</v>
      </c>
      <c r="X63">
        <v>66</v>
      </c>
      <c r="Y63">
        <f t="shared" si="3"/>
        <v>4.4485479999999997</v>
      </c>
    </row>
    <row r="64" spans="2:25" x14ac:dyDescent="0.2">
      <c r="B64">
        <v>5.5010640000000004</v>
      </c>
      <c r="C64">
        <v>35.966000000000001</v>
      </c>
      <c r="D64">
        <v>2.9091999999999998</v>
      </c>
      <c r="E64">
        <v>66</v>
      </c>
      <c r="F64">
        <f t="shared" si="0"/>
        <v>4.5010640000000004</v>
      </c>
      <c r="H64">
        <v>5.5379940000000003</v>
      </c>
      <c r="I64">
        <v>40.997</v>
      </c>
      <c r="J64">
        <v>3.3081</v>
      </c>
      <c r="K64">
        <v>66</v>
      </c>
      <c r="L64">
        <f t="shared" si="1"/>
        <v>4.5379940000000003</v>
      </c>
      <c r="O64">
        <v>5.5485420000000003</v>
      </c>
      <c r="P64">
        <v>47.241999999999997</v>
      </c>
      <c r="Q64">
        <v>0.98839999999999995</v>
      </c>
      <c r="R64">
        <v>66</v>
      </c>
      <c r="S64">
        <f t="shared" si="2"/>
        <v>4.5485420000000003</v>
      </c>
      <c r="U64">
        <v>5.5256429999999996</v>
      </c>
      <c r="V64">
        <v>54.216999999999999</v>
      </c>
      <c r="W64">
        <v>1.1716</v>
      </c>
      <c r="X64">
        <v>66</v>
      </c>
      <c r="Y64">
        <f t="shared" si="3"/>
        <v>4.5256429999999996</v>
      </c>
    </row>
    <row r="65" spans="2:25" x14ac:dyDescent="0.2">
      <c r="B65">
        <v>5.6084329999999998</v>
      </c>
      <c r="C65">
        <v>35.924999999999997</v>
      </c>
      <c r="D65">
        <v>2.9131999999999998</v>
      </c>
      <c r="E65">
        <v>66</v>
      </c>
      <c r="F65">
        <f t="shared" si="0"/>
        <v>4.6084329999999998</v>
      </c>
      <c r="H65">
        <v>5.6157149999999998</v>
      </c>
      <c r="I65">
        <v>41.14</v>
      </c>
      <c r="J65">
        <v>3.1829999999999998</v>
      </c>
      <c r="K65">
        <v>66</v>
      </c>
      <c r="L65">
        <f t="shared" si="1"/>
        <v>4.6157149999999998</v>
      </c>
      <c r="O65">
        <v>5.6204169999999998</v>
      </c>
      <c r="P65">
        <v>46.976999999999997</v>
      </c>
      <c r="Q65">
        <v>1.0081</v>
      </c>
      <c r="R65">
        <v>66</v>
      </c>
      <c r="S65">
        <f t="shared" si="2"/>
        <v>4.6204169999999998</v>
      </c>
      <c r="U65">
        <v>5.6050890000000004</v>
      </c>
      <c r="V65">
        <v>53.981999999999999</v>
      </c>
      <c r="W65">
        <v>1.1872</v>
      </c>
      <c r="X65">
        <v>66</v>
      </c>
      <c r="Y65">
        <f t="shared" si="3"/>
        <v>4.6050890000000004</v>
      </c>
    </row>
    <row r="66" spans="2:25" x14ac:dyDescent="0.2">
      <c r="B66">
        <v>5.6851289999999999</v>
      </c>
      <c r="C66">
        <v>35.938000000000002</v>
      </c>
      <c r="D66">
        <v>2.8321999999999998</v>
      </c>
      <c r="E66">
        <v>66</v>
      </c>
      <c r="F66">
        <f t="shared" si="0"/>
        <v>4.6851289999999999</v>
      </c>
      <c r="H66">
        <v>5.7238439999999997</v>
      </c>
      <c r="I66">
        <v>40.956000000000003</v>
      </c>
      <c r="J66">
        <v>3.3121</v>
      </c>
      <c r="K66">
        <v>66</v>
      </c>
      <c r="L66">
        <f t="shared" si="1"/>
        <v>4.7238439999999997</v>
      </c>
      <c r="O66">
        <v>5.7382559999999998</v>
      </c>
      <c r="P66">
        <v>46.963999999999999</v>
      </c>
      <c r="Q66">
        <v>0.98729999999999996</v>
      </c>
      <c r="R66">
        <v>66</v>
      </c>
      <c r="S66">
        <f t="shared" si="2"/>
        <v>4.7382559999999998</v>
      </c>
      <c r="U66">
        <v>5.7205180000000002</v>
      </c>
      <c r="V66">
        <v>53.679000000000002</v>
      </c>
      <c r="W66">
        <v>1.2092000000000001</v>
      </c>
      <c r="X66">
        <v>66</v>
      </c>
      <c r="Y66">
        <f t="shared" si="3"/>
        <v>4.7205180000000002</v>
      </c>
    </row>
    <row r="67" spans="2:25" x14ac:dyDescent="0.2">
      <c r="B67">
        <v>5.7911260000000002</v>
      </c>
      <c r="C67">
        <v>35.96</v>
      </c>
      <c r="D67">
        <v>2.9056000000000002</v>
      </c>
      <c r="E67">
        <v>66</v>
      </c>
      <c r="F67">
        <f t="shared" si="0"/>
        <v>4.7911260000000002</v>
      </c>
      <c r="H67">
        <v>5.8012170000000003</v>
      </c>
      <c r="I67">
        <v>40.920999999999999</v>
      </c>
      <c r="J67">
        <v>3.1932999999999998</v>
      </c>
      <c r="K67">
        <v>66</v>
      </c>
      <c r="L67">
        <f t="shared" si="1"/>
        <v>4.8012170000000003</v>
      </c>
      <c r="O67">
        <v>5.8036269999999996</v>
      </c>
      <c r="P67">
        <v>46.854999999999997</v>
      </c>
      <c r="Q67">
        <v>0.98809999999999998</v>
      </c>
      <c r="R67">
        <v>66</v>
      </c>
      <c r="S67">
        <f t="shared" si="2"/>
        <v>4.8036269999999996</v>
      </c>
      <c r="U67">
        <v>5.7973699999999999</v>
      </c>
      <c r="V67">
        <v>53.505000000000003</v>
      </c>
      <c r="W67">
        <v>1.1768000000000001</v>
      </c>
      <c r="X67">
        <v>66</v>
      </c>
      <c r="Y67">
        <f t="shared" si="3"/>
        <v>4.7973699999999999</v>
      </c>
    </row>
    <row r="68" spans="2:25" x14ac:dyDescent="0.2">
      <c r="B68">
        <v>5.8679990000000002</v>
      </c>
      <c r="C68">
        <v>35.912999999999997</v>
      </c>
      <c r="D68">
        <v>2.8774999999999999</v>
      </c>
      <c r="E68">
        <v>66</v>
      </c>
      <c r="F68">
        <f t="shared" si="0"/>
        <v>4.8679990000000002</v>
      </c>
      <c r="H68">
        <v>5.8638399999999997</v>
      </c>
      <c r="I68">
        <v>40.956000000000003</v>
      </c>
      <c r="J68">
        <v>3.2885</v>
      </c>
      <c r="K68">
        <v>66</v>
      </c>
      <c r="L68">
        <f t="shared" si="1"/>
        <v>4.8638399999999997</v>
      </c>
      <c r="O68">
        <v>5.9298209999999996</v>
      </c>
      <c r="P68">
        <v>46.83</v>
      </c>
      <c r="Q68">
        <v>0.9859</v>
      </c>
      <c r="R68">
        <v>66</v>
      </c>
      <c r="S68">
        <f t="shared" si="2"/>
        <v>4.9298209999999996</v>
      </c>
      <c r="U68">
        <v>5.8745240000000001</v>
      </c>
      <c r="V68">
        <v>53.341000000000001</v>
      </c>
      <c r="W68">
        <v>1.1544000000000001</v>
      </c>
      <c r="X68">
        <v>66</v>
      </c>
      <c r="Y68">
        <f t="shared" si="3"/>
        <v>4.8745240000000001</v>
      </c>
    </row>
    <row r="69" spans="2:25" x14ac:dyDescent="0.2">
      <c r="B69">
        <v>5.9731880000000004</v>
      </c>
      <c r="C69">
        <v>35.926000000000002</v>
      </c>
      <c r="D69">
        <v>3.0242</v>
      </c>
      <c r="E69">
        <v>66</v>
      </c>
      <c r="F69">
        <f t="shared" ref="F69:F114" si="4">B69-1</f>
        <v>4.9731880000000004</v>
      </c>
      <c r="H69">
        <v>5.9718970000000002</v>
      </c>
      <c r="I69">
        <v>41.006999999999998</v>
      </c>
      <c r="J69">
        <v>3.1897000000000002</v>
      </c>
      <c r="K69">
        <v>66</v>
      </c>
      <c r="L69">
        <f t="shared" ref="L69:L114" si="5">H69-1</f>
        <v>4.9718970000000002</v>
      </c>
      <c r="O69">
        <v>6.0119160000000003</v>
      </c>
      <c r="P69">
        <v>46.853000000000002</v>
      </c>
      <c r="Q69">
        <v>1.0224</v>
      </c>
      <c r="R69">
        <v>66</v>
      </c>
      <c r="S69">
        <f t="shared" ref="S69:S114" si="6">O69-1</f>
        <v>5.0119160000000003</v>
      </c>
      <c r="U69">
        <v>5.9918820000000004</v>
      </c>
      <c r="V69">
        <v>53.430999999999997</v>
      </c>
      <c r="W69">
        <v>1.1820999999999999</v>
      </c>
      <c r="X69">
        <v>66</v>
      </c>
      <c r="Y69">
        <f t="shared" ref="Y69:Y114" si="7">U69-1</f>
        <v>4.9918820000000004</v>
      </c>
    </row>
    <row r="70" spans="2:25" x14ac:dyDescent="0.2">
      <c r="B70">
        <v>6.0732499999999998</v>
      </c>
      <c r="C70">
        <v>35.905999999999999</v>
      </c>
      <c r="D70">
        <v>2.8908</v>
      </c>
      <c r="E70">
        <v>66</v>
      </c>
      <c r="F70">
        <f t="shared" si="4"/>
        <v>5.0732499999999998</v>
      </c>
      <c r="H70">
        <v>6.0491339999999996</v>
      </c>
      <c r="I70">
        <v>41.064999999999998</v>
      </c>
      <c r="J70">
        <v>3.2835000000000001</v>
      </c>
      <c r="K70">
        <v>66</v>
      </c>
      <c r="L70">
        <f t="shared" si="5"/>
        <v>5.0491339999999996</v>
      </c>
      <c r="O70">
        <v>6.0948310000000001</v>
      </c>
      <c r="P70">
        <v>46.642000000000003</v>
      </c>
      <c r="Q70">
        <v>0.97719999999999996</v>
      </c>
      <c r="R70">
        <v>66</v>
      </c>
      <c r="S70">
        <f t="shared" si="6"/>
        <v>5.0948310000000001</v>
      </c>
      <c r="U70">
        <v>6.0683129999999998</v>
      </c>
      <c r="V70">
        <v>53.505000000000003</v>
      </c>
      <c r="W70">
        <v>1.1899</v>
      </c>
      <c r="X70">
        <v>66</v>
      </c>
      <c r="Y70">
        <f t="shared" si="7"/>
        <v>5.0683129999999998</v>
      </c>
    </row>
    <row r="71" spans="2:25" x14ac:dyDescent="0.2">
      <c r="B71">
        <v>6.1789870000000002</v>
      </c>
      <c r="C71">
        <v>35.866</v>
      </c>
      <c r="D71">
        <v>2.948</v>
      </c>
      <c r="E71">
        <v>66</v>
      </c>
      <c r="F71">
        <f t="shared" si="4"/>
        <v>5.1789870000000002</v>
      </c>
      <c r="H71">
        <v>6.1588789999999998</v>
      </c>
      <c r="I71">
        <v>41.063000000000002</v>
      </c>
      <c r="J71">
        <v>3.3108</v>
      </c>
      <c r="K71">
        <v>66</v>
      </c>
      <c r="L71">
        <f t="shared" si="5"/>
        <v>5.1588789999999998</v>
      </c>
      <c r="O71">
        <v>6.1778079999999997</v>
      </c>
      <c r="P71">
        <v>46.613999999999997</v>
      </c>
      <c r="Q71">
        <v>1.0063</v>
      </c>
      <c r="R71">
        <v>66</v>
      </c>
      <c r="S71">
        <f t="shared" si="6"/>
        <v>5.1778079999999997</v>
      </c>
      <c r="U71">
        <v>6.185924</v>
      </c>
      <c r="V71">
        <v>53.396000000000001</v>
      </c>
      <c r="W71">
        <v>1.1852</v>
      </c>
      <c r="X71">
        <v>66</v>
      </c>
      <c r="Y71">
        <f t="shared" si="7"/>
        <v>5.185924</v>
      </c>
    </row>
    <row r="72" spans="2:25" x14ac:dyDescent="0.2">
      <c r="B72">
        <v>6.2563370000000003</v>
      </c>
      <c r="C72">
        <v>35.768000000000001</v>
      </c>
      <c r="D72">
        <v>2.9451999999999998</v>
      </c>
      <c r="E72">
        <v>66</v>
      </c>
      <c r="F72">
        <f t="shared" si="4"/>
        <v>5.2563370000000003</v>
      </c>
      <c r="H72">
        <v>6.2368490000000003</v>
      </c>
      <c r="I72">
        <v>41.118000000000002</v>
      </c>
      <c r="J72">
        <v>3.3254999999999999</v>
      </c>
      <c r="K72">
        <v>66</v>
      </c>
      <c r="L72">
        <f t="shared" si="5"/>
        <v>5.2368490000000003</v>
      </c>
      <c r="O72">
        <v>6.2624240000000002</v>
      </c>
      <c r="P72">
        <v>46.506999999999998</v>
      </c>
      <c r="Q72">
        <v>1.0153000000000001</v>
      </c>
      <c r="R72">
        <v>66</v>
      </c>
      <c r="S72">
        <f t="shared" si="6"/>
        <v>5.2624240000000002</v>
      </c>
      <c r="U72">
        <v>6.2634069999999999</v>
      </c>
      <c r="V72">
        <v>53.256999999999998</v>
      </c>
      <c r="W72">
        <v>1.1722999999999999</v>
      </c>
      <c r="X72">
        <v>66</v>
      </c>
      <c r="Y72">
        <f t="shared" si="7"/>
        <v>5.2634069999999999</v>
      </c>
    </row>
    <row r="73" spans="2:25" x14ac:dyDescent="0.2">
      <c r="B73">
        <v>6.3616609999999998</v>
      </c>
      <c r="C73">
        <v>35.911999999999999</v>
      </c>
      <c r="D73">
        <v>2.8546999999999998</v>
      </c>
      <c r="E73">
        <v>66</v>
      </c>
      <c r="F73">
        <f t="shared" si="4"/>
        <v>5.3616609999999998</v>
      </c>
      <c r="H73">
        <v>6.3456049999999999</v>
      </c>
      <c r="I73">
        <v>41.149000000000001</v>
      </c>
      <c r="J73">
        <v>3.3005</v>
      </c>
      <c r="K73">
        <v>66</v>
      </c>
      <c r="L73">
        <f t="shared" si="5"/>
        <v>5.3456049999999999</v>
      </c>
      <c r="O73">
        <v>6.3800689999999998</v>
      </c>
      <c r="P73">
        <v>46.337000000000003</v>
      </c>
      <c r="Q73">
        <v>0.9677</v>
      </c>
      <c r="R73">
        <v>66</v>
      </c>
      <c r="S73">
        <f t="shared" si="6"/>
        <v>5.3800689999999998</v>
      </c>
      <c r="U73">
        <v>6.3410640000000003</v>
      </c>
      <c r="V73">
        <v>53.057000000000002</v>
      </c>
      <c r="W73">
        <v>1.1618999999999999</v>
      </c>
      <c r="X73">
        <v>66</v>
      </c>
      <c r="Y73">
        <f t="shared" si="7"/>
        <v>5.3410640000000003</v>
      </c>
    </row>
    <row r="74" spans="2:25" x14ac:dyDescent="0.2">
      <c r="B74">
        <v>6.438466</v>
      </c>
      <c r="C74">
        <v>35.798999999999999</v>
      </c>
      <c r="D74">
        <v>3.0790000000000002</v>
      </c>
      <c r="E74">
        <v>66</v>
      </c>
      <c r="F74">
        <f t="shared" si="4"/>
        <v>5.438466</v>
      </c>
      <c r="H74">
        <v>6.4238799999999996</v>
      </c>
      <c r="I74">
        <v>41.11</v>
      </c>
      <c r="J74">
        <v>3.2822</v>
      </c>
      <c r="K74">
        <v>66</v>
      </c>
      <c r="L74">
        <f t="shared" si="5"/>
        <v>5.4238799999999996</v>
      </c>
      <c r="O74">
        <v>6.4591969999999996</v>
      </c>
      <c r="P74">
        <v>46.393999999999998</v>
      </c>
      <c r="Q74">
        <v>0.98650000000000004</v>
      </c>
      <c r="R74">
        <v>66</v>
      </c>
      <c r="S74">
        <f t="shared" si="6"/>
        <v>5.4591969999999996</v>
      </c>
      <c r="U74">
        <v>6.4588770000000002</v>
      </c>
      <c r="V74">
        <v>52.84</v>
      </c>
      <c r="W74">
        <v>1.1892</v>
      </c>
      <c r="X74">
        <v>66</v>
      </c>
      <c r="Y74">
        <f t="shared" si="7"/>
        <v>5.4588770000000002</v>
      </c>
    </row>
    <row r="75" spans="2:25" x14ac:dyDescent="0.2">
      <c r="B75">
        <v>6.544003</v>
      </c>
      <c r="C75">
        <v>35.718000000000004</v>
      </c>
      <c r="D75">
        <v>2.9144999999999999</v>
      </c>
      <c r="E75">
        <v>66</v>
      </c>
      <c r="F75">
        <f t="shared" si="4"/>
        <v>5.544003</v>
      </c>
      <c r="H75">
        <v>6.5142980000000001</v>
      </c>
      <c r="I75">
        <v>41.152000000000001</v>
      </c>
      <c r="J75">
        <v>3.4159000000000002</v>
      </c>
      <c r="K75">
        <v>66</v>
      </c>
      <c r="L75">
        <f t="shared" si="5"/>
        <v>5.5142980000000001</v>
      </c>
      <c r="O75">
        <v>6.5757779999999997</v>
      </c>
      <c r="P75">
        <v>46.426000000000002</v>
      </c>
      <c r="Q75">
        <v>1.0004999999999999</v>
      </c>
      <c r="R75">
        <v>66</v>
      </c>
      <c r="S75">
        <f t="shared" si="6"/>
        <v>5.5757779999999997</v>
      </c>
      <c r="U75">
        <v>6.5374179999999997</v>
      </c>
      <c r="V75">
        <v>52.801000000000002</v>
      </c>
      <c r="W75">
        <v>1.153</v>
      </c>
      <c r="X75">
        <v>66</v>
      </c>
      <c r="Y75">
        <f t="shared" si="7"/>
        <v>5.5374179999999997</v>
      </c>
    </row>
    <row r="76" spans="2:25" x14ac:dyDescent="0.2">
      <c r="B76">
        <v>6.6209100000000003</v>
      </c>
      <c r="C76">
        <v>35.776000000000003</v>
      </c>
      <c r="D76">
        <v>2.7890000000000001</v>
      </c>
      <c r="E76">
        <v>66</v>
      </c>
      <c r="F76">
        <f t="shared" si="4"/>
        <v>5.6209100000000003</v>
      </c>
      <c r="H76">
        <v>6.6167769999999999</v>
      </c>
      <c r="I76">
        <v>41.213999999999999</v>
      </c>
      <c r="J76">
        <v>3.3056000000000001</v>
      </c>
      <c r="K76">
        <v>66</v>
      </c>
      <c r="L76">
        <f t="shared" si="5"/>
        <v>5.6167769999999999</v>
      </c>
      <c r="O76">
        <v>6.6521429999999997</v>
      </c>
      <c r="P76">
        <v>46.210999999999999</v>
      </c>
      <c r="Q76">
        <v>1.0404</v>
      </c>
      <c r="R76">
        <v>66</v>
      </c>
      <c r="S76">
        <f t="shared" si="6"/>
        <v>5.6521429999999997</v>
      </c>
      <c r="U76">
        <v>6.614268</v>
      </c>
      <c r="V76">
        <v>52.652000000000001</v>
      </c>
      <c r="W76">
        <v>1.1841999999999999</v>
      </c>
      <c r="X76">
        <v>66</v>
      </c>
      <c r="Y76">
        <f t="shared" si="7"/>
        <v>5.614268</v>
      </c>
    </row>
    <row r="77" spans="2:25" x14ac:dyDescent="0.2">
      <c r="B77">
        <v>6.7260429999999998</v>
      </c>
      <c r="C77">
        <v>35.703000000000003</v>
      </c>
      <c r="D77">
        <v>2.9925999999999999</v>
      </c>
      <c r="E77">
        <v>66</v>
      </c>
      <c r="F77">
        <f t="shared" si="4"/>
        <v>5.7260429999999998</v>
      </c>
      <c r="H77">
        <v>6.7260530000000003</v>
      </c>
      <c r="I77">
        <v>41.21</v>
      </c>
      <c r="J77">
        <v>3.3353999999999999</v>
      </c>
      <c r="K77">
        <v>66</v>
      </c>
      <c r="L77">
        <f t="shared" si="5"/>
        <v>5.7260530000000003</v>
      </c>
      <c r="O77">
        <v>6.7327820000000003</v>
      </c>
      <c r="P77">
        <v>46.097999999999999</v>
      </c>
      <c r="Q77">
        <v>1.0065999999999999</v>
      </c>
      <c r="R77">
        <v>66</v>
      </c>
      <c r="S77">
        <f t="shared" si="6"/>
        <v>5.7327820000000003</v>
      </c>
      <c r="U77">
        <v>6.7315069999999997</v>
      </c>
      <c r="V77">
        <v>52.366999999999997</v>
      </c>
      <c r="W77">
        <v>1.1839</v>
      </c>
      <c r="X77">
        <v>66</v>
      </c>
      <c r="Y77">
        <f t="shared" si="7"/>
        <v>5.7315069999999997</v>
      </c>
    </row>
    <row r="78" spans="2:25" x14ac:dyDescent="0.2">
      <c r="B78">
        <v>6.8025599999999997</v>
      </c>
      <c r="C78">
        <v>35.634999999999998</v>
      </c>
      <c r="D78">
        <v>3.0055000000000001</v>
      </c>
      <c r="E78">
        <v>66</v>
      </c>
      <c r="F78">
        <f t="shared" si="4"/>
        <v>5.8025599999999997</v>
      </c>
      <c r="H78">
        <v>6.8036430000000001</v>
      </c>
      <c r="I78">
        <v>41.042999999999999</v>
      </c>
      <c r="J78">
        <v>3.2395</v>
      </c>
      <c r="K78">
        <v>66</v>
      </c>
      <c r="L78">
        <f t="shared" si="5"/>
        <v>5.8036430000000001</v>
      </c>
      <c r="O78">
        <v>6.8174929999999998</v>
      </c>
      <c r="P78">
        <v>45.982999999999997</v>
      </c>
      <c r="Q78">
        <v>1.0379</v>
      </c>
      <c r="R78">
        <v>66</v>
      </c>
      <c r="S78">
        <f t="shared" si="6"/>
        <v>5.8174929999999998</v>
      </c>
      <c r="U78">
        <v>6.8086690000000001</v>
      </c>
      <c r="V78">
        <v>52.38</v>
      </c>
      <c r="W78">
        <v>1.1500999999999999</v>
      </c>
      <c r="X78">
        <v>66</v>
      </c>
      <c r="Y78">
        <f t="shared" si="7"/>
        <v>5.8086690000000001</v>
      </c>
    </row>
    <row r="79" spans="2:25" x14ac:dyDescent="0.2">
      <c r="B79">
        <v>6.9080300000000001</v>
      </c>
      <c r="C79">
        <v>35.667000000000002</v>
      </c>
      <c r="D79">
        <v>2.9864999999999999</v>
      </c>
      <c r="E79">
        <v>66</v>
      </c>
      <c r="F79">
        <f t="shared" si="4"/>
        <v>5.9080300000000001</v>
      </c>
      <c r="H79">
        <v>6.9118300000000001</v>
      </c>
      <c r="I79">
        <v>41.097999999999999</v>
      </c>
      <c r="J79">
        <v>3.3161</v>
      </c>
      <c r="K79">
        <v>66</v>
      </c>
      <c r="L79">
        <f t="shared" si="5"/>
        <v>5.9118300000000001</v>
      </c>
      <c r="O79">
        <v>6.9405859999999997</v>
      </c>
      <c r="P79">
        <v>45.792999999999999</v>
      </c>
      <c r="Q79">
        <v>1.0186999999999999</v>
      </c>
      <c r="R79">
        <v>66</v>
      </c>
      <c r="S79">
        <f t="shared" si="6"/>
        <v>5.9405859999999997</v>
      </c>
      <c r="U79">
        <v>6.8843949999999996</v>
      </c>
      <c r="V79">
        <v>52.301000000000002</v>
      </c>
      <c r="W79">
        <v>1.1377999999999999</v>
      </c>
      <c r="X79">
        <v>66</v>
      </c>
      <c r="Y79">
        <f t="shared" si="7"/>
        <v>5.8843949999999996</v>
      </c>
    </row>
    <row r="80" spans="2:25" x14ac:dyDescent="0.2">
      <c r="B80">
        <v>6.984375</v>
      </c>
      <c r="C80">
        <v>35.820999999999998</v>
      </c>
      <c r="D80">
        <v>2.8649</v>
      </c>
      <c r="E80">
        <v>66</v>
      </c>
      <c r="F80">
        <f t="shared" si="4"/>
        <v>5.984375</v>
      </c>
      <c r="H80">
        <v>6.9898689999999997</v>
      </c>
      <c r="I80">
        <v>41.075000000000003</v>
      </c>
      <c r="J80">
        <v>3.2320000000000002</v>
      </c>
      <c r="K80">
        <v>66</v>
      </c>
      <c r="L80">
        <f t="shared" si="5"/>
        <v>5.9898689999999997</v>
      </c>
      <c r="O80">
        <v>7.0026989999999998</v>
      </c>
      <c r="P80">
        <v>45.697000000000003</v>
      </c>
      <c r="Q80">
        <v>0.98650000000000004</v>
      </c>
      <c r="R80">
        <v>66</v>
      </c>
      <c r="S80">
        <f t="shared" si="6"/>
        <v>6.0026989999999998</v>
      </c>
      <c r="U80">
        <v>6.9994059999999996</v>
      </c>
      <c r="V80">
        <v>52.036999999999999</v>
      </c>
      <c r="W80">
        <v>1.1713</v>
      </c>
      <c r="X80">
        <v>66</v>
      </c>
      <c r="Y80">
        <f t="shared" si="7"/>
        <v>5.9994059999999996</v>
      </c>
    </row>
    <row r="81" spans="2:25" x14ac:dyDescent="0.2">
      <c r="B81">
        <v>7.0907830000000001</v>
      </c>
      <c r="C81">
        <v>35.792999999999999</v>
      </c>
      <c r="D81">
        <v>2.9487999999999999</v>
      </c>
      <c r="E81">
        <v>66</v>
      </c>
      <c r="F81">
        <f t="shared" si="4"/>
        <v>6.0907830000000001</v>
      </c>
      <c r="H81">
        <v>7.0994650000000004</v>
      </c>
      <c r="I81">
        <v>41.043999999999997</v>
      </c>
      <c r="J81">
        <v>3.4266000000000001</v>
      </c>
      <c r="K81">
        <v>66</v>
      </c>
      <c r="L81">
        <f t="shared" si="5"/>
        <v>6.0994650000000004</v>
      </c>
      <c r="O81">
        <v>7.1223890000000001</v>
      </c>
      <c r="P81">
        <v>45.935000000000002</v>
      </c>
      <c r="Q81">
        <v>0.99519999999999997</v>
      </c>
      <c r="R81">
        <v>66</v>
      </c>
      <c r="S81">
        <f t="shared" si="6"/>
        <v>6.1223890000000001</v>
      </c>
      <c r="U81">
        <v>7.0759449999999999</v>
      </c>
      <c r="V81">
        <v>51.936999999999998</v>
      </c>
      <c r="W81">
        <v>1.1418999999999999</v>
      </c>
      <c r="X81">
        <v>66</v>
      </c>
      <c r="Y81">
        <f t="shared" si="7"/>
        <v>6.0759449999999999</v>
      </c>
    </row>
    <row r="82" spans="2:25" x14ac:dyDescent="0.2">
      <c r="B82">
        <v>7.1689910000000001</v>
      </c>
      <c r="C82">
        <v>35.880000000000003</v>
      </c>
      <c r="D82">
        <v>2.8477000000000001</v>
      </c>
      <c r="E82">
        <v>100</v>
      </c>
      <c r="F82">
        <f t="shared" si="4"/>
        <v>6.1689910000000001</v>
      </c>
      <c r="H82">
        <v>7.1781680000000003</v>
      </c>
      <c r="I82">
        <v>41.146999999999998</v>
      </c>
      <c r="J82">
        <v>3.2818000000000001</v>
      </c>
      <c r="K82">
        <v>100</v>
      </c>
      <c r="L82">
        <f t="shared" si="5"/>
        <v>6.1781680000000003</v>
      </c>
      <c r="O82">
        <v>7.2009350000000003</v>
      </c>
      <c r="P82">
        <v>45.868000000000002</v>
      </c>
      <c r="Q82">
        <v>1.0065999999999999</v>
      </c>
      <c r="R82">
        <v>66</v>
      </c>
      <c r="S82">
        <f t="shared" si="6"/>
        <v>6.2009350000000003</v>
      </c>
      <c r="U82">
        <v>7.1932320000000001</v>
      </c>
      <c r="V82">
        <v>51.951000000000001</v>
      </c>
      <c r="W82">
        <v>1.1662999999999999</v>
      </c>
      <c r="X82">
        <v>100</v>
      </c>
      <c r="Y82">
        <f t="shared" si="7"/>
        <v>6.1932320000000001</v>
      </c>
    </row>
    <row r="83" spans="2:25" x14ac:dyDescent="0.2">
      <c r="B83">
        <v>7.2861750000000001</v>
      </c>
      <c r="C83">
        <v>35.835000000000001</v>
      </c>
      <c r="D83">
        <v>1.1554</v>
      </c>
      <c r="E83">
        <v>100</v>
      </c>
      <c r="F83">
        <f t="shared" si="4"/>
        <v>6.2861750000000001</v>
      </c>
      <c r="H83">
        <v>7.2937279999999998</v>
      </c>
      <c r="I83">
        <v>41.121000000000002</v>
      </c>
      <c r="J83">
        <v>3.4028</v>
      </c>
      <c r="K83">
        <v>100</v>
      </c>
      <c r="L83">
        <f t="shared" si="5"/>
        <v>6.2937279999999998</v>
      </c>
      <c r="O83">
        <v>7.2784639999999996</v>
      </c>
      <c r="P83">
        <v>45.628</v>
      </c>
      <c r="Q83">
        <v>0.98109999999999997</v>
      </c>
      <c r="R83">
        <v>100</v>
      </c>
      <c r="S83">
        <f t="shared" si="6"/>
        <v>6.2784639999999996</v>
      </c>
      <c r="U83">
        <v>7.270003</v>
      </c>
      <c r="V83">
        <v>52.018999999999998</v>
      </c>
      <c r="W83">
        <v>1.151</v>
      </c>
      <c r="X83">
        <v>100</v>
      </c>
      <c r="Y83">
        <f t="shared" si="7"/>
        <v>6.270003</v>
      </c>
    </row>
    <row r="84" spans="2:25" x14ac:dyDescent="0.2">
      <c r="B84">
        <v>7.3643729999999996</v>
      </c>
      <c r="C84">
        <v>36.411000000000001</v>
      </c>
      <c r="D84">
        <v>1.3522000000000001</v>
      </c>
      <c r="E84">
        <v>100</v>
      </c>
      <c r="F84">
        <f t="shared" si="4"/>
        <v>6.3643729999999996</v>
      </c>
      <c r="H84">
        <v>7.3711070000000003</v>
      </c>
      <c r="I84">
        <v>41.433</v>
      </c>
      <c r="J84">
        <v>1.4237</v>
      </c>
      <c r="K84">
        <v>100</v>
      </c>
      <c r="L84">
        <f t="shared" si="5"/>
        <v>6.3711070000000003</v>
      </c>
      <c r="O84">
        <v>7.4039729999999997</v>
      </c>
      <c r="P84">
        <v>45.414000000000001</v>
      </c>
      <c r="Q84">
        <v>0.56379999999999997</v>
      </c>
      <c r="R84">
        <v>100</v>
      </c>
      <c r="S84">
        <f t="shared" si="6"/>
        <v>6.4039729999999997</v>
      </c>
      <c r="U84">
        <v>7.3547450000000003</v>
      </c>
      <c r="V84">
        <v>52.215000000000003</v>
      </c>
      <c r="W84">
        <v>0.67449999999999999</v>
      </c>
      <c r="X84">
        <v>100</v>
      </c>
      <c r="Y84">
        <f t="shared" si="7"/>
        <v>6.3547450000000003</v>
      </c>
    </row>
    <row r="85" spans="2:25" x14ac:dyDescent="0.2">
      <c r="B85">
        <v>7.4410600000000002</v>
      </c>
      <c r="C85">
        <v>46.689</v>
      </c>
      <c r="D85">
        <v>1.7867999999999999</v>
      </c>
      <c r="E85">
        <v>100</v>
      </c>
      <c r="F85">
        <f t="shared" si="4"/>
        <v>6.4410600000000002</v>
      </c>
      <c r="H85">
        <v>7.4335750000000003</v>
      </c>
      <c r="I85">
        <v>51.286000000000001</v>
      </c>
      <c r="J85">
        <v>1.9072</v>
      </c>
      <c r="K85">
        <v>100</v>
      </c>
      <c r="L85">
        <f t="shared" si="5"/>
        <v>6.4335750000000003</v>
      </c>
      <c r="O85">
        <v>7.4810809999999996</v>
      </c>
      <c r="P85">
        <v>46.456000000000003</v>
      </c>
      <c r="Q85">
        <v>0.59309999999999996</v>
      </c>
      <c r="R85">
        <v>100</v>
      </c>
      <c r="S85">
        <f t="shared" si="6"/>
        <v>6.4810809999999996</v>
      </c>
      <c r="U85">
        <v>7.4719239999999996</v>
      </c>
      <c r="V85">
        <v>54.823999999999998</v>
      </c>
      <c r="W85">
        <v>0.71650000000000003</v>
      </c>
      <c r="X85">
        <v>100</v>
      </c>
      <c r="Y85">
        <f t="shared" si="7"/>
        <v>6.4719239999999996</v>
      </c>
    </row>
    <row r="86" spans="2:25" x14ac:dyDescent="0.2">
      <c r="B86">
        <v>7.5488049999999998</v>
      </c>
      <c r="C86">
        <v>63.956000000000003</v>
      </c>
      <c r="D86">
        <v>2.4592999999999998</v>
      </c>
      <c r="E86">
        <v>100</v>
      </c>
      <c r="F86">
        <f t="shared" si="4"/>
        <v>6.5488049999999998</v>
      </c>
      <c r="H86">
        <v>7.5579559999999999</v>
      </c>
      <c r="I86">
        <v>71.957999999999998</v>
      </c>
      <c r="J86">
        <v>2.6080999999999999</v>
      </c>
      <c r="K86">
        <v>100</v>
      </c>
      <c r="L86">
        <f t="shared" si="5"/>
        <v>6.5579559999999999</v>
      </c>
      <c r="O86">
        <v>7.5750640000000002</v>
      </c>
      <c r="P86">
        <v>54.787999999999997</v>
      </c>
      <c r="Q86">
        <v>0.69989999999999997</v>
      </c>
      <c r="R86">
        <v>100</v>
      </c>
      <c r="S86">
        <f t="shared" si="6"/>
        <v>6.5750640000000002</v>
      </c>
      <c r="U86">
        <v>7.5604620000000002</v>
      </c>
      <c r="V86">
        <v>65.692999999999998</v>
      </c>
      <c r="W86">
        <v>0.85960000000000003</v>
      </c>
      <c r="X86">
        <v>100</v>
      </c>
      <c r="Y86">
        <f t="shared" si="7"/>
        <v>6.5604620000000002</v>
      </c>
    </row>
    <row r="87" spans="2:25" x14ac:dyDescent="0.2">
      <c r="B87">
        <v>7.6386139999999996</v>
      </c>
      <c r="C87">
        <v>68.370999999999995</v>
      </c>
      <c r="D87">
        <v>2.5922999999999998</v>
      </c>
      <c r="E87">
        <v>100</v>
      </c>
      <c r="F87">
        <f t="shared" si="4"/>
        <v>6.6386139999999996</v>
      </c>
      <c r="H87">
        <v>7.6370009999999997</v>
      </c>
      <c r="I87">
        <v>78.744</v>
      </c>
      <c r="J87">
        <v>2.9119999999999999</v>
      </c>
      <c r="K87">
        <v>100</v>
      </c>
      <c r="L87">
        <f t="shared" si="5"/>
        <v>6.6370009999999997</v>
      </c>
      <c r="O87">
        <v>7.6575110000000004</v>
      </c>
      <c r="P87">
        <v>63.874000000000002</v>
      </c>
      <c r="Q87">
        <v>0.81899999999999995</v>
      </c>
      <c r="R87">
        <v>100</v>
      </c>
      <c r="S87">
        <f t="shared" si="6"/>
        <v>6.6575110000000004</v>
      </c>
      <c r="U87">
        <v>7.6391030000000004</v>
      </c>
      <c r="V87">
        <v>73.415999999999997</v>
      </c>
      <c r="W87">
        <v>0.9617</v>
      </c>
      <c r="X87">
        <v>100</v>
      </c>
      <c r="Y87">
        <f t="shared" si="7"/>
        <v>6.6391030000000004</v>
      </c>
    </row>
    <row r="88" spans="2:25" x14ac:dyDescent="0.2">
      <c r="B88">
        <v>7.7460760000000004</v>
      </c>
      <c r="C88">
        <v>68.5</v>
      </c>
      <c r="D88">
        <v>2.5396999999999998</v>
      </c>
      <c r="E88">
        <v>100</v>
      </c>
      <c r="F88">
        <f t="shared" si="4"/>
        <v>6.7460760000000004</v>
      </c>
      <c r="H88">
        <v>7.744802</v>
      </c>
      <c r="I88">
        <v>79.454999999999998</v>
      </c>
      <c r="J88">
        <v>3.0272999999999999</v>
      </c>
      <c r="K88">
        <v>100</v>
      </c>
      <c r="L88">
        <f t="shared" si="5"/>
        <v>6.744802</v>
      </c>
      <c r="O88">
        <v>7.7387819999999996</v>
      </c>
      <c r="P88">
        <v>65.659000000000006</v>
      </c>
      <c r="Q88">
        <v>0.84699999999999998</v>
      </c>
      <c r="R88">
        <v>100</v>
      </c>
      <c r="S88">
        <f t="shared" si="6"/>
        <v>6.7387819999999996</v>
      </c>
      <c r="U88">
        <v>7.7172219999999996</v>
      </c>
      <c r="V88">
        <v>74.680999999999997</v>
      </c>
      <c r="W88">
        <v>0.9788</v>
      </c>
      <c r="X88">
        <v>100</v>
      </c>
      <c r="Y88">
        <f t="shared" si="7"/>
        <v>6.7172219999999996</v>
      </c>
    </row>
    <row r="89" spans="2:25" x14ac:dyDescent="0.2">
      <c r="B89">
        <v>7.8238519999999996</v>
      </c>
      <c r="C89">
        <v>68.48</v>
      </c>
      <c r="D89">
        <v>2.5655999999999999</v>
      </c>
      <c r="E89">
        <v>100</v>
      </c>
      <c r="F89">
        <f t="shared" si="4"/>
        <v>6.8238519999999996</v>
      </c>
      <c r="H89">
        <v>7.8227130000000002</v>
      </c>
      <c r="I89">
        <v>79.343999999999994</v>
      </c>
      <c r="J89">
        <v>2.9598</v>
      </c>
      <c r="K89">
        <v>100</v>
      </c>
      <c r="L89">
        <f t="shared" si="5"/>
        <v>6.8227130000000002</v>
      </c>
      <c r="O89">
        <v>7.8479539999999997</v>
      </c>
      <c r="P89">
        <v>65.366</v>
      </c>
      <c r="Q89">
        <v>0.84360000000000002</v>
      </c>
      <c r="R89">
        <v>100</v>
      </c>
      <c r="S89">
        <f t="shared" si="6"/>
        <v>6.8479539999999997</v>
      </c>
      <c r="U89">
        <v>7.8249490000000002</v>
      </c>
      <c r="V89">
        <v>74.649000000000001</v>
      </c>
      <c r="W89">
        <v>0.98660000000000003</v>
      </c>
      <c r="X89">
        <v>100</v>
      </c>
      <c r="Y89">
        <f t="shared" si="7"/>
        <v>6.8249490000000002</v>
      </c>
    </row>
    <row r="90" spans="2:25" x14ac:dyDescent="0.2">
      <c r="B90">
        <v>7.932436</v>
      </c>
      <c r="C90">
        <v>68.179000000000002</v>
      </c>
      <c r="D90">
        <v>2.5834000000000001</v>
      </c>
      <c r="E90">
        <v>100</v>
      </c>
      <c r="F90">
        <f t="shared" si="4"/>
        <v>6.932436</v>
      </c>
      <c r="H90">
        <v>7.914428</v>
      </c>
      <c r="I90">
        <v>79.251000000000005</v>
      </c>
      <c r="J90">
        <v>2.9483999999999999</v>
      </c>
      <c r="K90">
        <v>100</v>
      </c>
      <c r="L90">
        <f t="shared" si="5"/>
        <v>6.914428</v>
      </c>
      <c r="O90">
        <v>7.9219860000000004</v>
      </c>
      <c r="P90">
        <v>65.06</v>
      </c>
      <c r="Q90">
        <v>0.85050000000000003</v>
      </c>
      <c r="R90">
        <v>100</v>
      </c>
      <c r="S90">
        <f t="shared" si="6"/>
        <v>6.9219860000000004</v>
      </c>
      <c r="U90">
        <v>7.8985310000000002</v>
      </c>
      <c r="V90">
        <v>74.516999999999996</v>
      </c>
      <c r="W90">
        <v>0.98770000000000002</v>
      </c>
      <c r="X90">
        <v>100</v>
      </c>
      <c r="Y90">
        <f t="shared" si="7"/>
        <v>6.8985310000000002</v>
      </c>
    </row>
    <row r="91" spans="2:25" x14ac:dyDescent="0.2">
      <c r="B91">
        <v>8.0101990000000001</v>
      </c>
      <c r="C91">
        <v>68.224000000000004</v>
      </c>
      <c r="D91">
        <v>2.5579999999999998</v>
      </c>
      <c r="E91">
        <v>100</v>
      </c>
      <c r="F91">
        <f t="shared" si="4"/>
        <v>7.0101990000000001</v>
      </c>
      <c r="H91">
        <v>8.0040200000000006</v>
      </c>
      <c r="I91">
        <v>79.394000000000005</v>
      </c>
      <c r="J91">
        <v>2.9567999999999999</v>
      </c>
      <c r="K91">
        <v>100</v>
      </c>
      <c r="L91">
        <f t="shared" si="5"/>
        <v>7.0040200000000006</v>
      </c>
      <c r="O91">
        <v>8.0383089999999999</v>
      </c>
      <c r="P91">
        <v>64.69</v>
      </c>
      <c r="Q91">
        <v>0.84379999999999999</v>
      </c>
      <c r="R91">
        <v>100</v>
      </c>
      <c r="S91">
        <f t="shared" si="6"/>
        <v>7.0383089999999999</v>
      </c>
      <c r="U91">
        <v>8.0155930000000009</v>
      </c>
      <c r="V91">
        <v>74.162999999999997</v>
      </c>
      <c r="W91">
        <v>0.99509999999999998</v>
      </c>
      <c r="X91">
        <v>100</v>
      </c>
      <c r="Y91">
        <f t="shared" si="7"/>
        <v>7.0155930000000009</v>
      </c>
    </row>
    <row r="92" spans="2:25" x14ac:dyDescent="0.2">
      <c r="B92">
        <v>8.1161239999999992</v>
      </c>
      <c r="C92">
        <v>68.262</v>
      </c>
      <c r="D92">
        <v>2.5684999999999998</v>
      </c>
      <c r="E92">
        <v>100</v>
      </c>
      <c r="F92">
        <f t="shared" si="4"/>
        <v>7.1161239999999992</v>
      </c>
      <c r="H92">
        <v>8.115202</v>
      </c>
      <c r="I92">
        <v>79.299000000000007</v>
      </c>
      <c r="J92">
        <v>2.9401000000000002</v>
      </c>
      <c r="K92">
        <v>100</v>
      </c>
      <c r="L92">
        <f t="shared" si="5"/>
        <v>7.115202</v>
      </c>
      <c r="O92">
        <v>8.11538</v>
      </c>
      <c r="P92">
        <v>64.522999999999996</v>
      </c>
      <c r="Q92">
        <v>0.84889999999999999</v>
      </c>
      <c r="R92">
        <v>100</v>
      </c>
      <c r="S92">
        <f t="shared" si="6"/>
        <v>7.11538</v>
      </c>
      <c r="U92">
        <v>8.1213529999999992</v>
      </c>
      <c r="V92">
        <v>73.808999999999997</v>
      </c>
      <c r="W92">
        <v>0.99119999999999997</v>
      </c>
      <c r="X92">
        <v>100</v>
      </c>
      <c r="Y92">
        <f t="shared" si="7"/>
        <v>7.1213529999999992</v>
      </c>
    </row>
    <row r="93" spans="2:25" x14ac:dyDescent="0.2">
      <c r="B93">
        <v>8.1929390000000009</v>
      </c>
      <c r="C93">
        <v>68.123000000000005</v>
      </c>
      <c r="D93">
        <v>2.6013000000000002</v>
      </c>
      <c r="E93">
        <v>100</v>
      </c>
      <c r="F93">
        <f t="shared" si="4"/>
        <v>7.1929390000000009</v>
      </c>
      <c r="H93">
        <v>8.1940299999999997</v>
      </c>
      <c r="I93">
        <v>79.066000000000003</v>
      </c>
      <c r="J93">
        <v>2.9119999999999999</v>
      </c>
      <c r="K93">
        <v>100</v>
      </c>
      <c r="L93">
        <f t="shared" si="5"/>
        <v>7.1940299999999997</v>
      </c>
      <c r="O93">
        <v>8.2325520000000001</v>
      </c>
      <c r="P93">
        <v>64.090999999999994</v>
      </c>
      <c r="Q93">
        <v>0.84660000000000002</v>
      </c>
      <c r="R93">
        <v>100</v>
      </c>
      <c r="S93">
        <f t="shared" si="6"/>
        <v>7.2325520000000001</v>
      </c>
      <c r="U93">
        <v>8.1917969999999993</v>
      </c>
      <c r="V93">
        <v>73.313999999999993</v>
      </c>
      <c r="W93">
        <v>0.98699999999999999</v>
      </c>
      <c r="X93">
        <v>100</v>
      </c>
      <c r="Y93">
        <f t="shared" si="7"/>
        <v>7.1917969999999993</v>
      </c>
    </row>
    <row r="94" spans="2:25" x14ac:dyDescent="0.2">
      <c r="B94">
        <v>8.2992519999999992</v>
      </c>
      <c r="C94">
        <v>68.06</v>
      </c>
      <c r="D94">
        <v>2.544</v>
      </c>
      <c r="E94">
        <v>100</v>
      </c>
      <c r="F94">
        <f t="shared" si="4"/>
        <v>7.2992519999999992</v>
      </c>
      <c r="H94">
        <v>8.2579049999999992</v>
      </c>
      <c r="I94">
        <v>79.114999999999995</v>
      </c>
      <c r="J94">
        <v>2.8976999999999999</v>
      </c>
      <c r="K94">
        <v>100</v>
      </c>
      <c r="L94">
        <f t="shared" si="5"/>
        <v>7.2579049999999992</v>
      </c>
      <c r="O94">
        <v>8.3095780000000001</v>
      </c>
      <c r="P94">
        <v>64.094999999999999</v>
      </c>
      <c r="Q94">
        <v>0.84799999999999998</v>
      </c>
      <c r="R94">
        <v>100</v>
      </c>
      <c r="S94">
        <f t="shared" si="6"/>
        <v>7.3095780000000001</v>
      </c>
      <c r="U94">
        <v>8.2692110000000003</v>
      </c>
      <c r="V94">
        <v>73.131</v>
      </c>
      <c r="W94">
        <v>0.98870000000000002</v>
      </c>
      <c r="X94">
        <v>100</v>
      </c>
      <c r="Y94">
        <f t="shared" si="7"/>
        <v>7.2692110000000003</v>
      </c>
    </row>
    <row r="95" spans="2:25" x14ac:dyDescent="0.2">
      <c r="B95">
        <v>8.3766130000000008</v>
      </c>
      <c r="C95">
        <v>67.933999999999997</v>
      </c>
      <c r="D95">
        <v>2.5499000000000001</v>
      </c>
      <c r="E95">
        <v>100</v>
      </c>
      <c r="F95">
        <f t="shared" si="4"/>
        <v>7.3766130000000008</v>
      </c>
      <c r="H95">
        <v>8.3666859999999996</v>
      </c>
      <c r="I95">
        <v>79.308000000000007</v>
      </c>
      <c r="J95">
        <v>2.9980000000000002</v>
      </c>
      <c r="K95">
        <v>100</v>
      </c>
      <c r="L95">
        <f t="shared" si="5"/>
        <v>7.3666859999999996</v>
      </c>
      <c r="O95">
        <v>8.3883880000000008</v>
      </c>
      <c r="P95">
        <v>63.896000000000001</v>
      </c>
      <c r="Q95">
        <v>0.84909999999999997</v>
      </c>
      <c r="R95">
        <v>100</v>
      </c>
      <c r="S95">
        <f t="shared" si="6"/>
        <v>7.3883880000000008</v>
      </c>
      <c r="U95">
        <v>8.3873219999999993</v>
      </c>
      <c r="V95">
        <v>73.010999999999996</v>
      </c>
      <c r="W95">
        <v>0.98829999999999996</v>
      </c>
      <c r="X95">
        <v>100</v>
      </c>
      <c r="Y95">
        <f t="shared" si="7"/>
        <v>7.3873219999999993</v>
      </c>
    </row>
    <row r="96" spans="2:25" x14ac:dyDescent="0.2">
      <c r="B96">
        <v>8.4825289999999995</v>
      </c>
      <c r="C96">
        <v>67.798000000000002</v>
      </c>
      <c r="D96">
        <v>2.5813000000000001</v>
      </c>
      <c r="E96">
        <v>100</v>
      </c>
      <c r="F96">
        <f t="shared" si="4"/>
        <v>7.4825289999999995</v>
      </c>
      <c r="H96">
        <v>8.4446449999999995</v>
      </c>
      <c r="I96">
        <v>79.14</v>
      </c>
      <c r="J96">
        <v>2.99</v>
      </c>
      <c r="K96">
        <v>100</v>
      </c>
      <c r="L96">
        <f t="shared" si="5"/>
        <v>7.4446449999999995</v>
      </c>
      <c r="O96">
        <v>8.5040990000000001</v>
      </c>
      <c r="P96">
        <v>63.357999999999997</v>
      </c>
      <c r="Q96">
        <v>0.84970000000000001</v>
      </c>
      <c r="R96">
        <v>100</v>
      </c>
      <c r="S96">
        <f t="shared" si="6"/>
        <v>7.5040990000000001</v>
      </c>
      <c r="U96">
        <v>8.4632880000000004</v>
      </c>
      <c r="V96">
        <v>72.650999999999996</v>
      </c>
      <c r="W96">
        <v>0.98709999999999998</v>
      </c>
      <c r="X96">
        <v>100</v>
      </c>
      <c r="Y96">
        <f t="shared" si="7"/>
        <v>7.4632880000000004</v>
      </c>
    </row>
    <row r="97" spans="2:25" x14ac:dyDescent="0.2">
      <c r="B97">
        <v>8.5598310000000009</v>
      </c>
      <c r="C97">
        <v>67.828000000000003</v>
      </c>
      <c r="D97">
        <v>2.6185</v>
      </c>
      <c r="E97">
        <v>100</v>
      </c>
      <c r="F97">
        <f t="shared" si="4"/>
        <v>7.5598310000000009</v>
      </c>
      <c r="H97">
        <v>8.5530139999999992</v>
      </c>
      <c r="I97">
        <v>78.975999999999999</v>
      </c>
      <c r="J97">
        <v>2.8186</v>
      </c>
      <c r="K97">
        <v>100</v>
      </c>
      <c r="L97">
        <f t="shared" si="5"/>
        <v>7.5530139999999992</v>
      </c>
      <c r="O97">
        <v>8.5814409999999999</v>
      </c>
      <c r="P97">
        <v>63.424999999999997</v>
      </c>
      <c r="Q97">
        <v>0.84899999999999998</v>
      </c>
      <c r="R97">
        <v>100</v>
      </c>
      <c r="S97">
        <f t="shared" si="6"/>
        <v>7.5814409999999999</v>
      </c>
      <c r="U97">
        <v>8.5792680000000008</v>
      </c>
      <c r="V97">
        <v>72.391000000000005</v>
      </c>
      <c r="W97">
        <v>0.98750000000000004</v>
      </c>
      <c r="X97">
        <v>100</v>
      </c>
      <c r="Y97">
        <f t="shared" si="7"/>
        <v>7.5792680000000008</v>
      </c>
    </row>
    <row r="98" spans="2:25" x14ac:dyDescent="0.2">
      <c r="B98">
        <v>8.6658159999999995</v>
      </c>
      <c r="C98">
        <v>67.775000000000006</v>
      </c>
      <c r="D98">
        <v>2.5886999999999998</v>
      </c>
      <c r="E98">
        <v>100</v>
      </c>
      <c r="F98">
        <f t="shared" si="4"/>
        <v>7.6658159999999995</v>
      </c>
      <c r="H98">
        <v>8.6310140000000004</v>
      </c>
      <c r="I98">
        <v>78.912999999999997</v>
      </c>
      <c r="J98">
        <v>2.9460000000000002</v>
      </c>
      <c r="K98">
        <v>100</v>
      </c>
      <c r="L98">
        <f t="shared" si="5"/>
        <v>7.6310140000000004</v>
      </c>
      <c r="O98">
        <v>8.6573370000000001</v>
      </c>
      <c r="P98">
        <v>63.23</v>
      </c>
      <c r="Q98">
        <v>0.84630000000000005</v>
      </c>
      <c r="R98">
        <v>100</v>
      </c>
      <c r="S98">
        <f t="shared" si="6"/>
        <v>7.6573370000000001</v>
      </c>
      <c r="U98">
        <v>8.6551559999999998</v>
      </c>
      <c r="V98">
        <v>72.129000000000005</v>
      </c>
      <c r="W98">
        <v>0.98629999999999995</v>
      </c>
      <c r="X98">
        <v>100</v>
      </c>
      <c r="Y98">
        <f t="shared" si="7"/>
        <v>7.6551559999999998</v>
      </c>
    </row>
    <row r="99" spans="2:25" x14ac:dyDescent="0.2">
      <c r="B99">
        <v>8.7434639999999995</v>
      </c>
      <c r="C99">
        <v>67.972999999999999</v>
      </c>
      <c r="D99">
        <v>2.6004</v>
      </c>
      <c r="E99">
        <v>100</v>
      </c>
      <c r="F99">
        <f t="shared" si="4"/>
        <v>7.7434639999999995</v>
      </c>
      <c r="H99">
        <v>8.7396919999999998</v>
      </c>
      <c r="I99">
        <v>78.793000000000006</v>
      </c>
      <c r="J99">
        <v>3.0310999999999999</v>
      </c>
      <c r="K99">
        <v>100</v>
      </c>
      <c r="L99">
        <f t="shared" si="5"/>
        <v>7.7396919999999998</v>
      </c>
      <c r="O99">
        <v>8.7791169999999994</v>
      </c>
      <c r="P99">
        <v>63.213999999999999</v>
      </c>
      <c r="Q99">
        <v>0.84819999999999995</v>
      </c>
      <c r="R99">
        <v>100</v>
      </c>
      <c r="S99">
        <f t="shared" si="6"/>
        <v>7.7791169999999994</v>
      </c>
      <c r="U99">
        <v>8.7308500000000002</v>
      </c>
      <c r="V99">
        <v>71.763000000000005</v>
      </c>
      <c r="W99">
        <v>0.97689999999999999</v>
      </c>
      <c r="X99">
        <v>100</v>
      </c>
      <c r="Y99">
        <f t="shared" si="7"/>
        <v>7.7308500000000002</v>
      </c>
    </row>
    <row r="100" spans="2:25" x14ac:dyDescent="0.2">
      <c r="B100">
        <v>8.8518720000000002</v>
      </c>
      <c r="C100">
        <v>68.052999999999997</v>
      </c>
      <c r="D100">
        <v>2.6000999999999999</v>
      </c>
      <c r="E100">
        <v>100</v>
      </c>
      <c r="F100">
        <f t="shared" si="4"/>
        <v>7.8518720000000002</v>
      </c>
      <c r="H100">
        <v>8.817043</v>
      </c>
      <c r="I100">
        <v>78.787000000000006</v>
      </c>
      <c r="J100">
        <v>2.9308000000000001</v>
      </c>
      <c r="K100">
        <v>100</v>
      </c>
      <c r="L100">
        <f t="shared" si="5"/>
        <v>7.817043</v>
      </c>
      <c r="O100">
        <v>8.8617910000000002</v>
      </c>
      <c r="P100">
        <v>63.258000000000003</v>
      </c>
      <c r="Q100">
        <v>0.85240000000000005</v>
      </c>
      <c r="R100">
        <v>100</v>
      </c>
      <c r="S100">
        <f t="shared" si="6"/>
        <v>7.8617910000000002</v>
      </c>
      <c r="U100">
        <v>8.8468129999999991</v>
      </c>
      <c r="V100">
        <v>71.510999999999996</v>
      </c>
      <c r="W100">
        <v>0.97140000000000004</v>
      </c>
      <c r="X100">
        <v>100</v>
      </c>
      <c r="Y100">
        <f t="shared" si="7"/>
        <v>7.8468129999999991</v>
      </c>
    </row>
    <row r="101" spans="2:25" x14ac:dyDescent="0.2">
      <c r="B101">
        <v>8.9300800000000002</v>
      </c>
      <c r="C101">
        <v>68.137</v>
      </c>
      <c r="D101">
        <v>2.6193</v>
      </c>
      <c r="E101">
        <v>100</v>
      </c>
      <c r="F101">
        <f t="shared" si="4"/>
        <v>7.9300800000000002</v>
      </c>
      <c r="H101">
        <v>8.9263370000000002</v>
      </c>
      <c r="I101">
        <v>78.706000000000003</v>
      </c>
      <c r="J101">
        <v>2.9582999999999999</v>
      </c>
      <c r="K101">
        <v>100</v>
      </c>
      <c r="L101">
        <f t="shared" si="5"/>
        <v>7.9263370000000002</v>
      </c>
      <c r="O101">
        <v>8.9453340000000008</v>
      </c>
      <c r="P101">
        <v>63.000999999999998</v>
      </c>
      <c r="Q101">
        <v>0.84560000000000002</v>
      </c>
      <c r="R101">
        <v>100</v>
      </c>
      <c r="S101">
        <f t="shared" si="6"/>
        <v>7.9453340000000008</v>
      </c>
      <c r="U101">
        <v>8.9229090000000006</v>
      </c>
      <c r="V101">
        <v>71.468999999999994</v>
      </c>
      <c r="W101">
        <v>0.9798</v>
      </c>
      <c r="X101">
        <v>100</v>
      </c>
      <c r="Y101">
        <f t="shared" si="7"/>
        <v>7.9229090000000006</v>
      </c>
    </row>
    <row r="102" spans="2:25" x14ac:dyDescent="0.2">
      <c r="B102">
        <v>9.0362720000000003</v>
      </c>
      <c r="C102">
        <v>68.183999999999997</v>
      </c>
      <c r="D102">
        <v>2.6012</v>
      </c>
      <c r="E102">
        <v>100</v>
      </c>
      <c r="F102">
        <f t="shared" si="4"/>
        <v>8.0362720000000003</v>
      </c>
      <c r="H102">
        <v>9.0046579999999992</v>
      </c>
      <c r="I102">
        <v>78.59</v>
      </c>
      <c r="J102">
        <v>2.9876</v>
      </c>
      <c r="K102">
        <v>100</v>
      </c>
      <c r="L102">
        <f t="shared" si="5"/>
        <v>8.0046579999999992</v>
      </c>
      <c r="O102">
        <v>9.0286179999999998</v>
      </c>
      <c r="P102">
        <v>62.991</v>
      </c>
      <c r="Q102">
        <v>0.85309999999999997</v>
      </c>
      <c r="R102">
        <v>100</v>
      </c>
      <c r="S102">
        <f t="shared" si="6"/>
        <v>8.0286179999999998</v>
      </c>
      <c r="U102">
        <v>9.0416319999999999</v>
      </c>
      <c r="V102">
        <v>71.356999999999999</v>
      </c>
      <c r="W102">
        <v>0.97650000000000003</v>
      </c>
      <c r="X102">
        <v>100</v>
      </c>
      <c r="Y102">
        <f t="shared" si="7"/>
        <v>8.0416319999999999</v>
      </c>
    </row>
    <row r="103" spans="2:25" x14ac:dyDescent="0.2">
      <c r="B103">
        <v>9.1133690000000005</v>
      </c>
      <c r="C103">
        <v>68.319000000000003</v>
      </c>
      <c r="D103">
        <v>2.6044</v>
      </c>
      <c r="E103">
        <v>100</v>
      </c>
      <c r="F103">
        <f t="shared" si="4"/>
        <v>8.1133690000000005</v>
      </c>
      <c r="H103">
        <v>9.1139600000000005</v>
      </c>
      <c r="I103">
        <v>78.849999999999994</v>
      </c>
      <c r="J103">
        <v>3.0171000000000001</v>
      </c>
      <c r="K103">
        <v>100</v>
      </c>
      <c r="L103">
        <f t="shared" si="5"/>
        <v>8.1139600000000005</v>
      </c>
      <c r="O103">
        <v>9.1517730000000004</v>
      </c>
      <c r="P103">
        <v>62.896999999999998</v>
      </c>
      <c r="Q103">
        <v>0.84989999999999999</v>
      </c>
      <c r="R103">
        <v>100</v>
      </c>
      <c r="S103">
        <f t="shared" si="6"/>
        <v>8.1517730000000004</v>
      </c>
      <c r="U103">
        <v>9.1185279999999995</v>
      </c>
      <c r="V103">
        <v>71.215000000000003</v>
      </c>
      <c r="W103">
        <v>0.97319999999999995</v>
      </c>
      <c r="X103">
        <v>100</v>
      </c>
      <c r="Y103">
        <f t="shared" si="7"/>
        <v>8.1185279999999995</v>
      </c>
    </row>
    <row r="104" spans="2:25" x14ac:dyDescent="0.2">
      <c r="B104">
        <v>9.2009620000000005</v>
      </c>
      <c r="C104">
        <v>68.203000000000003</v>
      </c>
      <c r="D104">
        <v>2.5794000000000001</v>
      </c>
      <c r="E104">
        <v>100</v>
      </c>
      <c r="F104">
        <f t="shared" si="4"/>
        <v>8.2009620000000005</v>
      </c>
      <c r="H104">
        <v>9.1925240000000006</v>
      </c>
      <c r="I104">
        <v>78.748999999999995</v>
      </c>
      <c r="J104">
        <v>2.9567999999999999</v>
      </c>
      <c r="K104">
        <v>100</v>
      </c>
      <c r="L104">
        <f t="shared" si="5"/>
        <v>8.1925240000000006</v>
      </c>
      <c r="O104">
        <v>9.2304680000000001</v>
      </c>
      <c r="P104">
        <v>62.808</v>
      </c>
      <c r="Q104">
        <v>0.85109999999999997</v>
      </c>
      <c r="R104">
        <v>100</v>
      </c>
      <c r="S104">
        <f t="shared" si="6"/>
        <v>8.2304680000000001</v>
      </c>
      <c r="U104">
        <v>9.1990820000000006</v>
      </c>
      <c r="V104">
        <v>70.927999999999997</v>
      </c>
      <c r="W104">
        <v>0.9698</v>
      </c>
      <c r="X104">
        <v>100</v>
      </c>
      <c r="Y104">
        <f t="shared" si="7"/>
        <v>8.1990820000000006</v>
      </c>
    </row>
    <row r="105" spans="2:25" x14ac:dyDescent="0.2">
      <c r="B105">
        <v>9.2779419999999995</v>
      </c>
      <c r="C105">
        <v>68.143000000000001</v>
      </c>
      <c r="D105">
        <v>2.6461000000000001</v>
      </c>
      <c r="E105">
        <v>100</v>
      </c>
      <c r="F105">
        <f t="shared" si="4"/>
        <v>8.2779419999999995</v>
      </c>
      <c r="H105">
        <v>9.3015559999999997</v>
      </c>
      <c r="I105">
        <v>78.539000000000001</v>
      </c>
      <c r="J105">
        <v>2.9660000000000002</v>
      </c>
      <c r="K105">
        <v>100</v>
      </c>
      <c r="L105">
        <f t="shared" si="5"/>
        <v>8.3015559999999997</v>
      </c>
      <c r="O105">
        <v>9.3084120000000006</v>
      </c>
      <c r="P105">
        <v>62.537999999999997</v>
      </c>
      <c r="Q105">
        <v>0.84740000000000004</v>
      </c>
      <c r="R105">
        <v>100</v>
      </c>
      <c r="S105">
        <f t="shared" si="6"/>
        <v>8.3084120000000006</v>
      </c>
      <c r="U105">
        <v>9.3169210000000007</v>
      </c>
      <c r="V105">
        <v>70.828999999999994</v>
      </c>
      <c r="W105">
        <v>0.96450000000000002</v>
      </c>
      <c r="X105">
        <v>100</v>
      </c>
      <c r="Y105">
        <f t="shared" si="7"/>
        <v>8.3169210000000007</v>
      </c>
    </row>
    <row r="106" spans="2:25" x14ac:dyDescent="0.2">
      <c r="B106">
        <v>9.3836510000000004</v>
      </c>
      <c r="C106">
        <v>67.986000000000004</v>
      </c>
      <c r="D106">
        <v>2.6038999999999999</v>
      </c>
      <c r="E106">
        <v>100</v>
      </c>
      <c r="F106">
        <f t="shared" si="4"/>
        <v>8.3836510000000004</v>
      </c>
      <c r="H106">
        <v>9.3789560000000005</v>
      </c>
      <c r="I106">
        <v>78.41</v>
      </c>
      <c r="J106">
        <v>2.9177</v>
      </c>
      <c r="K106">
        <v>100</v>
      </c>
      <c r="L106">
        <f t="shared" si="5"/>
        <v>8.3789560000000005</v>
      </c>
      <c r="O106">
        <v>9.4253280000000004</v>
      </c>
      <c r="P106">
        <v>62.421999999999997</v>
      </c>
      <c r="Q106">
        <v>0.84650000000000003</v>
      </c>
      <c r="R106">
        <v>100</v>
      </c>
      <c r="S106">
        <f t="shared" si="6"/>
        <v>8.4253280000000004</v>
      </c>
      <c r="U106">
        <v>9.3778129999999997</v>
      </c>
      <c r="V106">
        <v>70.832999999999998</v>
      </c>
      <c r="W106">
        <v>0.97219999999999995</v>
      </c>
      <c r="X106">
        <v>100</v>
      </c>
      <c r="Y106">
        <f t="shared" si="7"/>
        <v>8.3778129999999997</v>
      </c>
    </row>
    <row r="107" spans="2:25" x14ac:dyDescent="0.2">
      <c r="B107">
        <v>9.4604520000000001</v>
      </c>
      <c r="C107">
        <v>67.849000000000004</v>
      </c>
      <c r="D107">
        <v>2.65</v>
      </c>
      <c r="E107">
        <v>100</v>
      </c>
      <c r="F107">
        <f t="shared" si="4"/>
        <v>8.4604520000000001</v>
      </c>
      <c r="H107">
        <v>9.4880410000000008</v>
      </c>
      <c r="I107">
        <v>78.466999999999999</v>
      </c>
      <c r="J107">
        <v>2.9792999999999998</v>
      </c>
      <c r="K107">
        <v>100</v>
      </c>
      <c r="L107">
        <f t="shared" si="5"/>
        <v>8.4880410000000008</v>
      </c>
      <c r="O107">
        <v>9.5024610000000003</v>
      </c>
      <c r="P107">
        <v>62.493000000000002</v>
      </c>
      <c r="Q107">
        <v>0.84640000000000004</v>
      </c>
      <c r="R107">
        <v>100</v>
      </c>
      <c r="S107">
        <f t="shared" si="6"/>
        <v>8.5024610000000003</v>
      </c>
      <c r="U107">
        <v>9.4940079999999991</v>
      </c>
      <c r="V107">
        <v>70.703999999999994</v>
      </c>
      <c r="W107">
        <v>0.97189999999999999</v>
      </c>
      <c r="X107">
        <v>100</v>
      </c>
      <c r="Y107">
        <f t="shared" si="7"/>
        <v>8.4940079999999991</v>
      </c>
    </row>
    <row r="108" spans="2:25" x14ac:dyDescent="0.2">
      <c r="B108">
        <v>9.5670780000000004</v>
      </c>
      <c r="C108">
        <v>68.084000000000003</v>
      </c>
      <c r="D108">
        <v>2.5969000000000002</v>
      </c>
      <c r="E108">
        <v>100</v>
      </c>
      <c r="F108">
        <f t="shared" si="4"/>
        <v>8.5670780000000004</v>
      </c>
      <c r="H108">
        <v>9.5662839999999996</v>
      </c>
      <c r="I108">
        <v>78.397000000000006</v>
      </c>
      <c r="J108">
        <v>2.9992999999999999</v>
      </c>
      <c r="K108">
        <v>100</v>
      </c>
      <c r="L108">
        <f t="shared" si="5"/>
        <v>8.5662839999999996</v>
      </c>
      <c r="O108">
        <v>9.5820550000000004</v>
      </c>
      <c r="P108">
        <v>62.255000000000003</v>
      </c>
      <c r="Q108">
        <v>0.84260000000000002</v>
      </c>
      <c r="R108">
        <v>100</v>
      </c>
      <c r="S108">
        <f t="shared" si="6"/>
        <v>8.5820550000000004</v>
      </c>
      <c r="U108">
        <v>9.5706179999999996</v>
      </c>
      <c r="V108">
        <v>70.658000000000001</v>
      </c>
      <c r="W108">
        <v>0.97550000000000003</v>
      </c>
      <c r="X108">
        <v>100</v>
      </c>
      <c r="Y108">
        <f t="shared" si="7"/>
        <v>8.5706179999999996</v>
      </c>
    </row>
    <row r="109" spans="2:25" x14ac:dyDescent="0.2">
      <c r="B109">
        <v>9.6443250000000003</v>
      </c>
      <c r="C109">
        <v>68.13</v>
      </c>
      <c r="D109">
        <v>2.6718000000000002</v>
      </c>
      <c r="E109">
        <v>100</v>
      </c>
      <c r="F109">
        <f t="shared" si="4"/>
        <v>8.6443250000000003</v>
      </c>
      <c r="H109">
        <v>9.675497</v>
      </c>
      <c r="I109">
        <v>78.332999999999998</v>
      </c>
      <c r="J109">
        <v>2.9403000000000001</v>
      </c>
      <c r="K109">
        <v>100</v>
      </c>
      <c r="L109">
        <f t="shared" si="5"/>
        <v>8.675497</v>
      </c>
      <c r="O109">
        <v>9.6994319999999998</v>
      </c>
      <c r="P109">
        <v>62.167000000000002</v>
      </c>
      <c r="Q109">
        <v>0.8468</v>
      </c>
      <c r="R109">
        <v>100</v>
      </c>
      <c r="S109">
        <f t="shared" si="6"/>
        <v>8.6994319999999998</v>
      </c>
      <c r="U109">
        <v>9.6482399999999995</v>
      </c>
      <c r="V109">
        <v>70.323999999999998</v>
      </c>
      <c r="W109">
        <v>0.9768</v>
      </c>
      <c r="X109">
        <v>100</v>
      </c>
      <c r="Y109">
        <f t="shared" si="7"/>
        <v>8.6482399999999995</v>
      </c>
    </row>
    <row r="110" spans="2:25" x14ac:dyDescent="0.2">
      <c r="B110">
        <v>9.7507439999999992</v>
      </c>
      <c r="C110">
        <v>67.998999999999995</v>
      </c>
      <c r="D110">
        <v>2.6478999999999999</v>
      </c>
      <c r="E110">
        <v>100</v>
      </c>
      <c r="F110">
        <f t="shared" si="4"/>
        <v>8.7507439999999992</v>
      </c>
      <c r="H110">
        <v>9.7537280000000006</v>
      </c>
      <c r="I110">
        <v>78.245999999999995</v>
      </c>
      <c r="J110">
        <v>2.9981</v>
      </c>
      <c r="K110">
        <v>100</v>
      </c>
      <c r="L110">
        <f t="shared" si="5"/>
        <v>8.7537280000000006</v>
      </c>
      <c r="O110">
        <v>9.7769549999999992</v>
      </c>
      <c r="P110">
        <v>62.241</v>
      </c>
      <c r="Q110">
        <v>0.85460000000000003</v>
      </c>
      <c r="R110">
        <v>100</v>
      </c>
      <c r="S110">
        <f t="shared" si="6"/>
        <v>8.7769549999999992</v>
      </c>
      <c r="U110">
        <v>9.7647519999999997</v>
      </c>
      <c r="V110">
        <v>70.411000000000001</v>
      </c>
      <c r="W110">
        <v>0.98240000000000005</v>
      </c>
      <c r="X110">
        <v>100</v>
      </c>
      <c r="Y110">
        <f t="shared" si="7"/>
        <v>8.7647519999999997</v>
      </c>
    </row>
    <row r="111" spans="2:25" x14ac:dyDescent="0.2">
      <c r="B111">
        <v>9.8274019999999993</v>
      </c>
      <c r="C111">
        <v>67.888999999999996</v>
      </c>
      <c r="D111">
        <v>2.6149</v>
      </c>
      <c r="E111">
        <v>100</v>
      </c>
      <c r="F111">
        <f t="shared" si="4"/>
        <v>8.8274019999999993</v>
      </c>
      <c r="H111">
        <v>9.8639060000000001</v>
      </c>
      <c r="I111">
        <v>78.31</v>
      </c>
      <c r="J111">
        <v>2.9676</v>
      </c>
      <c r="K111">
        <v>100</v>
      </c>
      <c r="L111">
        <f t="shared" si="5"/>
        <v>8.8639060000000001</v>
      </c>
      <c r="O111">
        <v>9.8534740000000003</v>
      </c>
      <c r="P111">
        <v>62.048000000000002</v>
      </c>
      <c r="Q111">
        <v>0.84670000000000001</v>
      </c>
      <c r="R111">
        <v>100</v>
      </c>
      <c r="S111">
        <f t="shared" si="6"/>
        <v>8.8534740000000003</v>
      </c>
      <c r="U111">
        <v>9.8429129999999994</v>
      </c>
      <c r="V111">
        <v>70.051000000000002</v>
      </c>
      <c r="W111">
        <v>0.97799999999999998</v>
      </c>
      <c r="X111">
        <v>100</v>
      </c>
      <c r="Y111">
        <f t="shared" si="7"/>
        <v>8.8429129999999994</v>
      </c>
    </row>
    <row r="112" spans="2:25" x14ac:dyDescent="0.2">
      <c r="B112">
        <v>9.9330879999999997</v>
      </c>
      <c r="C112">
        <v>68.007000000000005</v>
      </c>
      <c r="D112">
        <v>2.6478000000000002</v>
      </c>
      <c r="E112">
        <v>100</v>
      </c>
      <c r="F112">
        <f t="shared" si="4"/>
        <v>8.9330879999999997</v>
      </c>
      <c r="H112">
        <v>9.9434819999999995</v>
      </c>
      <c r="I112">
        <v>78.277000000000001</v>
      </c>
      <c r="J112">
        <v>2.99</v>
      </c>
      <c r="K112">
        <v>100</v>
      </c>
      <c r="L112">
        <f t="shared" si="5"/>
        <v>8.9434819999999995</v>
      </c>
      <c r="O112">
        <v>9.9697359999999993</v>
      </c>
      <c r="P112">
        <v>61.878999999999998</v>
      </c>
      <c r="Q112">
        <v>0.84509999999999996</v>
      </c>
      <c r="R112">
        <v>100</v>
      </c>
      <c r="S112">
        <f t="shared" si="6"/>
        <v>8.9697359999999993</v>
      </c>
      <c r="U112">
        <v>9.9614180000000001</v>
      </c>
      <c r="V112">
        <v>69.873000000000005</v>
      </c>
      <c r="W112">
        <v>0.98080000000000001</v>
      </c>
      <c r="X112">
        <v>100</v>
      </c>
      <c r="Y112">
        <f t="shared" si="7"/>
        <v>8.9614180000000001</v>
      </c>
    </row>
    <row r="113" spans="2:25" x14ac:dyDescent="0.2">
      <c r="B113">
        <v>10.034257999999999</v>
      </c>
      <c r="C113">
        <v>67.837000000000003</v>
      </c>
      <c r="D113">
        <v>2.61</v>
      </c>
      <c r="E113">
        <v>100</v>
      </c>
      <c r="F113">
        <f t="shared" si="4"/>
        <v>9.0342579999999995</v>
      </c>
      <c r="H113">
        <v>10.008126000000001</v>
      </c>
      <c r="I113">
        <v>78.471999999999994</v>
      </c>
      <c r="J113">
        <v>2.9866999999999999</v>
      </c>
      <c r="K113">
        <v>100</v>
      </c>
      <c r="L113">
        <f t="shared" si="5"/>
        <v>9.0081260000000007</v>
      </c>
      <c r="O113">
        <v>10.046704999999999</v>
      </c>
      <c r="P113">
        <v>61.991</v>
      </c>
      <c r="Q113">
        <v>0.85140000000000005</v>
      </c>
      <c r="R113">
        <v>100</v>
      </c>
      <c r="S113">
        <f t="shared" si="6"/>
        <v>9.0467049999999993</v>
      </c>
      <c r="U113">
        <v>10.038383</v>
      </c>
      <c r="V113">
        <v>69.622</v>
      </c>
      <c r="W113">
        <v>0.98150000000000004</v>
      </c>
      <c r="X113">
        <v>100</v>
      </c>
      <c r="Y113">
        <f t="shared" si="7"/>
        <v>9.0383829999999996</v>
      </c>
    </row>
    <row r="114" spans="2:25" x14ac:dyDescent="0.2">
      <c r="B114">
        <v>10.140366999999999</v>
      </c>
      <c r="C114">
        <v>67.936999999999998</v>
      </c>
      <c r="D114">
        <v>2.6006</v>
      </c>
      <c r="E114">
        <v>100</v>
      </c>
      <c r="F114">
        <f t="shared" si="4"/>
        <v>9.1403669999999995</v>
      </c>
      <c r="H114">
        <v>10.118392999999999</v>
      </c>
      <c r="I114">
        <v>78.445999999999998</v>
      </c>
      <c r="J114">
        <v>2.9474999999999998</v>
      </c>
      <c r="K114">
        <v>100</v>
      </c>
      <c r="L114">
        <f t="shared" si="5"/>
        <v>9.1183929999999993</v>
      </c>
      <c r="O114">
        <v>10.162731000000001</v>
      </c>
      <c r="P114">
        <v>61.895000000000003</v>
      </c>
      <c r="Q114">
        <v>0.8498</v>
      </c>
      <c r="R114">
        <v>100</v>
      </c>
      <c r="S114">
        <f t="shared" si="6"/>
        <v>9.1627310000000008</v>
      </c>
      <c r="U114">
        <v>10.11449</v>
      </c>
      <c r="V114">
        <v>69.453999999999994</v>
      </c>
      <c r="W114">
        <v>0.97450000000000003</v>
      </c>
      <c r="X114">
        <v>100</v>
      </c>
      <c r="Y114">
        <f t="shared" si="7"/>
        <v>9.11449</v>
      </c>
    </row>
    <row r="115" spans="2:25" x14ac:dyDescent="0.2">
      <c r="H115">
        <v>10.196313999999999</v>
      </c>
      <c r="I115">
        <v>78.338999999999999</v>
      </c>
      <c r="J115">
        <v>2.9649000000000001</v>
      </c>
      <c r="K115">
        <v>0</v>
      </c>
      <c r="O115">
        <v>10.23902</v>
      </c>
      <c r="P115">
        <v>61.688000000000002</v>
      </c>
      <c r="Q115">
        <v>0.84899999999999998</v>
      </c>
      <c r="R115">
        <v>100</v>
      </c>
      <c r="U115">
        <v>10.230916000000001</v>
      </c>
      <c r="V115">
        <v>69.403999999999996</v>
      </c>
      <c r="W115">
        <v>0.98280000000000001</v>
      </c>
      <c r="X115">
        <v>100</v>
      </c>
    </row>
  </sheetData>
  <mergeCells count="2">
    <mergeCell ref="B2:E2"/>
    <mergeCell ref="H2:K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Datura Comparison</vt:lpstr>
      <vt:lpstr>Motor 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Barnabás Kiss</dc:creator>
  <cp:lastModifiedBy>Barnabás Kiss</cp:lastModifiedBy>
  <dcterms:created xsi:type="dcterms:W3CDTF">2026-04-16T14:09:51Z</dcterms:created>
  <dcterms:modified xsi:type="dcterms:W3CDTF">2026-04-17T14:56:43Z</dcterms:modified>
</cp:coreProperties>
</file>